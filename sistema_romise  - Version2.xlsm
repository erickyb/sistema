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75" windowWidth="8115" windowHeight="2895" tabRatio="472" activeTab="1"/>
  </bookViews>
  <sheets>
    <sheet name="BaseDatos" sheetId="1" r:id="rId1"/>
    <sheet name="Hoja2" sheetId="2" r:id="rId2"/>
    <sheet name="Hoja3" sheetId="3" r:id="rId3"/>
    <sheet name="hoja4" sheetId="6" r:id="rId4"/>
    <sheet name="Hoja5" sheetId="7" r:id="rId5"/>
    <sheet name="lista_combobox" sheetId="4" r:id="rId6"/>
  </sheets>
  <definedNames>
    <definedName name="CAMBIO">lista_combobox!$D$1:$D$5</definedName>
    <definedName name="CAMBIO_DE_DATOS">lista_combobox!$F$1:$F$26</definedName>
    <definedName name="CARROCERIA">lista_combobox!$B$1:$B$97</definedName>
    <definedName name="CATE">lista_combobox!$A$1:$A$20</definedName>
    <definedName name="GASOLINA">lista_combobox!$C$1:$C$22</definedName>
    <definedName name="NOTAS">lista_combobox!$H$1:$H$20</definedName>
  </definedNames>
  <calcPr calcId="145621" iterate="1"/>
</workbook>
</file>

<file path=xl/calcChain.xml><?xml version="1.0" encoding="utf-8"?>
<calcChain xmlns="http://schemas.openxmlformats.org/spreadsheetml/2006/main">
  <c r="C31" i="2" l="1"/>
  <c r="B28" i="2"/>
  <c r="C28" i="2"/>
  <c r="C52" i="2"/>
  <c r="B35" i="2"/>
  <c r="B33" i="2"/>
  <c r="CD4" i="1"/>
  <c r="CD5" i="1"/>
  <c r="C35" i="2" s="1"/>
  <c r="CD6" i="1"/>
  <c r="BX4" i="1"/>
  <c r="BX5" i="1"/>
  <c r="A34" i="2" s="1"/>
  <c r="BX6" i="1"/>
  <c r="BW4" i="1"/>
  <c r="BW5" i="1"/>
  <c r="C33" i="2" s="1"/>
  <c r="BW6" i="1"/>
  <c r="BI4" i="1"/>
  <c r="BI5" i="1"/>
  <c r="A32" i="2" s="1"/>
  <c r="BI6" i="1"/>
  <c r="BH4" i="1"/>
  <c r="BH5" i="1"/>
  <c r="BH6" i="1"/>
  <c r="AS4" i="1" l="1"/>
  <c r="AT4" i="1"/>
  <c r="A24" i="6"/>
  <c r="A21" i="3" l="1"/>
  <c r="AS5" i="1" l="1"/>
  <c r="AT5" i="1"/>
  <c r="AS6" i="1" l="1"/>
  <c r="AT6" i="1"/>
  <c r="F18" i="2" l="1"/>
  <c r="B10" i="7" l="1"/>
  <c r="B11" i="7"/>
  <c r="D34" i="6"/>
  <c r="F18" i="3" l="1"/>
  <c r="F17" i="3"/>
  <c r="F16" i="3"/>
  <c r="F15" i="3"/>
  <c r="F14" i="3"/>
  <c r="F13" i="3"/>
  <c r="F12" i="3"/>
  <c r="F11" i="3"/>
  <c r="C19" i="3"/>
  <c r="C18" i="3"/>
  <c r="C17" i="3"/>
  <c r="C16" i="3"/>
  <c r="C15" i="3"/>
  <c r="C14" i="3"/>
  <c r="C13" i="3"/>
  <c r="C12" i="3"/>
  <c r="D29" i="3" s="1"/>
  <c r="C11" i="3"/>
  <c r="F17" i="6"/>
  <c r="C21" i="6"/>
  <c r="C22" i="6"/>
  <c r="C20" i="6"/>
  <c r="F21" i="6"/>
  <c r="F20" i="6"/>
  <c r="F19" i="6"/>
  <c r="F18" i="6"/>
  <c r="F16" i="6"/>
  <c r="F15" i="6"/>
  <c r="F14" i="6"/>
  <c r="F13" i="6"/>
  <c r="F12" i="6"/>
  <c r="F11" i="6"/>
  <c r="F10" i="6"/>
  <c r="C19" i="6"/>
  <c r="C18" i="6"/>
  <c r="C17" i="6"/>
  <c r="C16" i="6"/>
  <c r="C15" i="6"/>
  <c r="C14" i="6"/>
  <c r="C13" i="6"/>
  <c r="C12" i="6"/>
  <c r="C11" i="6"/>
  <c r="C10" i="6"/>
  <c r="C9" i="6"/>
  <c r="F27" i="6"/>
  <c r="F23" i="3"/>
  <c r="B36" i="2" l="1"/>
  <c r="C22" i="2"/>
  <c r="B31" i="2" l="1"/>
  <c r="A30" i="2"/>
  <c r="B2" i="1" l="1"/>
  <c r="C10" i="3" s="1"/>
  <c r="C19" i="2"/>
  <c r="C18" i="2"/>
  <c r="C15" i="2"/>
  <c r="F22" i="2"/>
  <c r="F21" i="2"/>
  <c r="F24" i="2"/>
  <c r="F23" i="2"/>
  <c r="F20" i="2"/>
  <c r="F19" i="2"/>
  <c r="C25" i="2"/>
  <c r="C24" i="2"/>
  <c r="F16" i="2"/>
  <c r="F15" i="2"/>
  <c r="F17" i="2"/>
  <c r="C20" i="2"/>
  <c r="F14" i="2"/>
  <c r="F13" i="2"/>
  <c r="C23" i="2"/>
  <c r="C26" i="2"/>
  <c r="C21" i="2"/>
  <c r="F25" i="2"/>
  <c r="D43" i="2" s="1"/>
  <c r="C17" i="2"/>
  <c r="C16" i="2"/>
  <c r="F37" i="2"/>
  <c r="C14" i="2"/>
  <c r="C13" i="2"/>
  <c r="C12" i="2"/>
  <c r="C2" i="1" l="1"/>
  <c r="CF4" i="1"/>
  <c r="CF5" i="1"/>
  <c r="CF6" i="1"/>
  <c r="F46" i="2"/>
  <c r="E31" i="3"/>
  <c r="D37" i="6"/>
  <c r="B12" i="7"/>
</calcChain>
</file>

<file path=xl/sharedStrings.xml><?xml version="1.0" encoding="utf-8"?>
<sst xmlns="http://schemas.openxmlformats.org/spreadsheetml/2006/main" count="455" uniqueCount="369">
  <si>
    <t>Nº Certificado</t>
  </si>
  <si>
    <t>Nombre</t>
  </si>
  <si>
    <t>Placa</t>
  </si>
  <si>
    <t>Carroceria</t>
  </si>
  <si>
    <t>Clase</t>
  </si>
  <si>
    <t>Marca</t>
  </si>
  <si>
    <t>Modelo</t>
  </si>
  <si>
    <t>Año Fabricacion</t>
  </si>
  <si>
    <t>Año Mod</t>
  </si>
  <si>
    <t>https://www.youtube.com/watch?v=N2KyLuhpHdY</t>
  </si>
  <si>
    <t>Expediente</t>
  </si>
  <si>
    <t>Formulario en VBA Excel (Nuevo, Modificar, Buscar, Eliminar, Limpiar)</t>
  </si>
  <si>
    <t>parte 1</t>
  </si>
  <si>
    <t>https://www.youtube.com/watch?v=37PO454jEAI&amp;t=0s</t>
  </si>
  <si>
    <t>parte 2</t>
  </si>
  <si>
    <t>Botón Agregar, modificar, eliminar, buscar y limpiar registros en Formulario VBA Excel</t>
  </si>
  <si>
    <t>Formulario de Búsqueda en Excel (MACROS VBA)</t>
  </si>
  <si>
    <t>parte 3</t>
  </si>
  <si>
    <t>https://www.youtube.com/watch?v=Ge-3k0tkfXo&amp;t=0s</t>
  </si>
  <si>
    <t>SEDAN</t>
  </si>
  <si>
    <t>M1</t>
  </si>
  <si>
    <t>Categoria</t>
  </si>
  <si>
    <t>Color</t>
  </si>
  <si>
    <t>VIN</t>
  </si>
  <si>
    <t>Serie</t>
  </si>
  <si>
    <t>Motor</t>
  </si>
  <si>
    <t>Potencia</t>
  </si>
  <si>
    <t>Formula Rodante</t>
  </si>
  <si>
    <t>Combustible</t>
  </si>
  <si>
    <t>Asientos</t>
  </si>
  <si>
    <t>Pasajeros</t>
  </si>
  <si>
    <t>Ruedas</t>
  </si>
  <si>
    <t>Ejes</t>
  </si>
  <si>
    <t>Cilindros</t>
  </si>
  <si>
    <t>Longitud</t>
  </si>
  <si>
    <t>Altura</t>
  </si>
  <si>
    <t>Ancho</t>
  </si>
  <si>
    <t>Cilindrada</t>
  </si>
  <si>
    <t>Peso Bruto</t>
  </si>
  <si>
    <t>Peso Neto</t>
  </si>
  <si>
    <t>Carga Util</t>
  </si>
  <si>
    <t>FURGON</t>
  </si>
  <si>
    <t>DIESEL</t>
  </si>
  <si>
    <t>***</t>
  </si>
  <si>
    <t>N3</t>
  </si>
  <si>
    <t>COMPACTADOR</t>
  </si>
  <si>
    <t>****</t>
  </si>
  <si>
    <t>CERTIFICADO DE CONFORMIDAD DE MODIFICACION</t>
  </si>
  <si>
    <t>CORPORACION ROMISE S.A.C.</t>
  </si>
  <si>
    <t>CERTIFICA:</t>
  </si>
  <si>
    <t>Haber efectuado la inspeccion tecnica del, cuyas caracteristicas son las siguientes en la tarjeta  de propiedad:</t>
  </si>
  <si>
    <t>Potecia</t>
  </si>
  <si>
    <t>Formula Roda.</t>
  </si>
  <si>
    <t>Nº Ejes</t>
  </si>
  <si>
    <t>Año de Fab.</t>
  </si>
  <si>
    <t>Año Mod.</t>
  </si>
  <si>
    <t>Kg.</t>
  </si>
  <si>
    <t>m.</t>
  </si>
  <si>
    <t>Nº Motor</t>
  </si>
  <si>
    <t>Colores</t>
  </si>
  <si>
    <t>Dando como resultado las siguiente actualizaciones de caracteristicas a registrar:</t>
  </si>
  <si>
    <t>Nota: 1 RESPETA LOS PARAMETROS Y SE CUMPLE CON LA NORMA VIGENTE.</t>
  </si>
  <si>
    <t>destinarlo  al  transporte  de</t>
  </si>
  <si>
    <t xml:space="preserve">Se expide el presente certificado en la cuidad de Lima, el </t>
  </si>
  <si>
    <r>
      <t xml:space="preserve">CERTIFICADO Nº   </t>
    </r>
    <r>
      <rPr>
        <b/>
        <sz val="11"/>
        <color theme="1"/>
        <rFont val="Calibri"/>
        <family val="2"/>
        <scheme val="minor"/>
      </rPr>
      <t>22</t>
    </r>
  </si>
  <si>
    <t xml:space="preserve">que   los </t>
  </si>
  <si>
    <t>cambios  ejectuados   en   el   vehiculo  y / o en  las  caracteristicas  registrables  no  afectan  
negativamente la  seguridad  del  mismo,  el  transito terrestre, el medio ambiente o incumple con la condiciones técnicas establecidas en la normativa vigente conforme al D.S.Nº 058-2003-MTC/15 y al D.S.Nº 017-2008-MTC/15 entre otros.</t>
  </si>
  <si>
    <t xml:space="preserve">                 El vehículo materia de evaluación  fue originalmente diseñado y construido para</t>
  </si>
  <si>
    <t>https://www.youtube.com/watch?v=icups7cslUs</t>
  </si>
  <si>
    <t>hora  y fecha</t>
  </si>
  <si>
    <t>clase</t>
  </si>
  <si>
    <r>
      <t xml:space="preserve">     Conste por el presente documento de acuerdo con el Exp:</t>
    </r>
    <r>
      <rPr>
        <b/>
        <sz val="11"/>
        <color theme="1"/>
        <rFont val="Calibri"/>
        <family val="2"/>
        <scheme val="minor"/>
      </rPr>
      <t xml:space="preserve"> Nº </t>
    </r>
  </si>
  <si>
    <t>categoria= m1</t>
  </si>
  <si>
    <t>carroceria=baranda</t>
  </si>
  <si>
    <t>carroceria= baranda</t>
  </si>
  <si>
    <t>modelo=n1</t>
  </si>
  <si>
    <t>Incorpo_1</t>
  </si>
  <si>
    <t>Incorpo_12</t>
  </si>
  <si>
    <t>Incorpo_2</t>
  </si>
  <si>
    <t>Incorpo_3</t>
  </si>
  <si>
    <t>Incorpo_4</t>
  </si>
  <si>
    <t>Incorpo_5</t>
  </si>
  <si>
    <t>Incorpo_6</t>
  </si>
  <si>
    <t>Incorpo_7</t>
  </si>
  <si>
    <t>Incorpo_8</t>
  </si>
  <si>
    <t>Incorpo_9</t>
  </si>
  <si>
    <t>Incorpo_10</t>
  </si>
  <si>
    <t>Incorpo_11</t>
  </si>
  <si>
    <t>adecua_1</t>
  </si>
  <si>
    <t>adecua_2</t>
  </si>
  <si>
    <t>adecua_3</t>
  </si>
  <si>
    <t>adecua_4</t>
  </si>
  <si>
    <t>modifi_1</t>
  </si>
  <si>
    <t>modifi_12</t>
  </si>
  <si>
    <t>modifi_2</t>
  </si>
  <si>
    <t>modifi_3</t>
  </si>
  <si>
    <t>modifi_4</t>
  </si>
  <si>
    <t>modifi_5</t>
  </si>
  <si>
    <t>modifi_6</t>
  </si>
  <si>
    <t>modifi_7</t>
  </si>
  <si>
    <t>modifi_8</t>
  </si>
  <si>
    <t>modifi_9</t>
  </si>
  <si>
    <t>modifi_10</t>
  </si>
  <si>
    <t>modifi_11</t>
  </si>
  <si>
    <t>rectifi_1</t>
  </si>
  <si>
    <t>rectifi_12</t>
  </si>
  <si>
    <t>rectifi_2</t>
  </si>
  <si>
    <t>rectifi_3</t>
  </si>
  <si>
    <t>rectifi_4</t>
  </si>
  <si>
    <t>rectifi_5</t>
  </si>
  <si>
    <t>rectifi_6</t>
  </si>
  <si>
    <t>rectifi_7</t>
  </si>
  <si>
    <t>rectifi_8</t>
  </si>
  <si>
    <t>rectifi_9</t>
  </si>
  <si>
    <t>rectifi_10</t>
  </si>
  <si>
    <t>rectifi_11</t>
  </si>
  <si>
    <t>M2</t>
  </si>
  <si>
    <t>M3</t>
  </si>
  <si>
    <t>N2</t>
  </si>
  <si>
    <t>CATEGORIA</t>
  </si>
  <si>
    <t>L1</t>
  </si>
  <si>
    <t>L2</t>
  </si>
  <si>
    <t>L3</t>
  </si>
  <si>
    <t>L4</t>
  </si>
  <si>
    <t>L5</t>
  </si>
  <si>
    <t>L6</t>
  </si>
  <si>
    <t>L7</t>
  </si>
  <si>
    <t>O1</t>
  </si>
  <si>
    <t>O2</t>
  </si>
  <si>
    <t>O4</t>
  </si>
  <si>
    <t>O3</t>
  </si>
  <si>
    <t>NN1</t>
  </si>
  <si>
    <t>AMBULANCIA</t>
  </si>
  <si>
    <t>ARENERO</t>
  </si>
  <si>
    <t>ARTICULADO</t>
  </si>
  <si>
    <t>BARANDA</t>
  </si>
  <si>
    <t>BARREDERA</t>
  </si>
  <si>
    <t>BIARTICULADO</t>
  </si>
  <si>
    <t>BICIMOTO</t>
  </si>
  <si>
    <t>BOMBA HORMIGONERA</t>
  </si>
  <si>
    <t>BOMBERO</t>
  </si>
  <si>
    <t>BOMBONA</t>
  </si>
  <si>
    <t>CAMA BAJA</t>
  </si>
  <si>
    <t>CAMION GRUA</t>
  </si>
  <si>
    <t>CARGOBUS</t>
  </si>
  <si>
    <t>AUXILIO MECANICO</t>
  </si>
  <si>
    <t>CASA RODANTE</t>
  </si>
  <si>
    <t>CAÑERO</t>
  </si>
  <si>
    <t>CELULAR</t>
  </si>
  <si>
    <t>CHASIS CABINADO</t>
  </si>
  <si>
    <t>CHASIS MOTORIZADO</t>
  </si>
  <si>
    <t>CIGÜEÑA</t>
  </si>
  <si>
    <t>CISTERNA</t>
  </si>
  <si>
    <t>CISTERNA COMBUSTIBLE</t>
  </si>
  <si>
    <t>COMPETENCIA</t>
  </si>
  <si>
    <t>COMPRESOR</t>
  </si>
  <si>
    <t>COMUNICACIONES</t>
  </si>
  <si>
    <t>CONVERTIBLES</t>
  </si>
  <si>
    <t>COUPE</t>
  </si>
  <si>
    <t>CUATRIMOTO</t>
  </si>
  <si>
    <t>DOLLY</t>
  </si>
  <si>
    <t>ELEVADOR</t>
  </si>
  <si>
    <t>ESPARCIDOR DE ASFALTO</t>
  </si>
  <si>
    <t>ESPARCIDOR DE MATERIA ORGANICA</t>
  </si>
  <si>
    <t>EXPLOSIVOS</t>
  </si>
  <si>
    <t>FACTORIA</t>
  </si>
  <si>
    <t>FUNERARIO</t>
  </si>
  <si>
    <t>FURGON FRIGORIFICO</t>
  </si>
  <si>
    <t>FURGON ISOTERMICO</t>
  </si>
  <si>
    <t>GRANELERO</t>
  </si>
  <si>
    <t>GRUPO ELECTROGENO</t>
  </si>
  <si>
    <t>GRUA</t>
  </si>
  <si>
    <t>HATCHBACK</t>
  </si>
  <si>
    <t>HORMIGONERA</t>
  </si>
  <si>
    <t>HOSPITAL</t>
  </si>
  <si>
    <t>ILUMINADOR</t>
  </si>
  <si>
    <t>INSTRUCCIÓN</t>
  </si>
  <si>
    <t>INTERCAMBIADOR</t>
  </si>
  <si>
    <t>LIMOSINA</t>
  </si>
  <si>
    <t>LUBRICADOR</t>
  </si>
  <si>
    <t>MADRINA</t>
  </si>
  <si>
    <t>MEZCLADOR</t>
  </si>
  <si>
    <t>MICROBUS</t>
  </si>
  <si>
    <t>MINIBUS</t>
  </si>
  <si>
    <t>MOTO SIDECAR</t>
  </si>
  <si>
    <t>MOTO TODO TERRENO</t>
  </si>
  <si>
    <t>MOTOCICLETA</t>
  </si>
  <si>
    <t>MULTIFUNCION</t>
  </si>
  <si>
    <t>MULTIPROPOSITO</t>
  </si>
  <si>
    <t>OMNIBUS  INTERURBANO</t>
  </si>
  <si>
    <t>OMNIBUS PANORAMICO</t>
  </si>
  <si>
    <t>OMNIBUS URBANO</t>
  </si>
  <si>
    <t>OTROS USOS ESPECIALES</t>
  </si>
  <si>
    <t>PANEL</t>
  </si>
  <si>
    <t>PERFORADOR</t>
  </si>
  <si>
    <t>PICK UP</t>
  </si>
  <si>
    <t>PLATAFORMA</t>
  </si>
  <si>
    <t>PORTA CONTENEDOR</t>
  </si>
  <si>
    <t>PORTA TROPAS</t>
  </si>
  <si>
    <t>QUILLA</t>
  </si>
  <si>
    <t>RADIOLOGICO</t>
  </si>
  <si>
    <t>REMOLCADOR</t>
  </si>
  <si>
    <t>REMOLCADOR GRUA</t>
  </si>
  <si>
    <t>REPARAVIAS</t>
  </si>
  <si>
    <t>ROMPE MANIFESRACIONES</t>
  </si>
  <si>
    <t>SANITARIO</t>
  </si>
  <si>
    <t>STATION WAGON</t>
  </si>
  <si>
    <t>SUV</t>
  </si>
  <si>
    <t>TANQUE CALORIFICO</t>
  </si>
  <si>
    <t>TANQUE CORROSIVO</t>
  </si>
  <si>
    <t>TANQUE CRIOGENICO</t>
  </si>
  <si>
    <t>TANQUE FRIGORIFICO</t>
  </si>
  <si>
    <t>TANQUE GLP</t>
  </si>
  <si>
    <t>TANQUE GNC</t>
  </si>
  <si>
    <t>TANQUE ISOTERMICO</t>
  </si>
  <si>
    <t>TRANSFORMADOR</t>
  </si>
  <si>
    <t>TRANSPORTE DE NAVES</t>
  </si>
  <si>
    <t>TRIMOTO CARGA</t>
  </si>
  <si>
    <t>TRIMOTO PASAJEROS</t>
  </si>
  <si>
    <t>TROLEBUS</t>
  </si>
  <si>
    <t>TUBULAR</t>
  </si>
  <si>
    <t>VALORES</t>
  </si>
  <si>
    <t>VEHICULO DE FERIAS</t>
  </si>
  <si>
    <t>VOLQUETE</t>
  </si>
  <si>
    <t>VOLQUETE FUERA DE CARRETERA</t>
  </si>
  <si>
    <t>CARROCERIA</t>
  </si>
  <si>
    <t>GASOLINA</t>
  </si>
  <si>
    <t>ACEITE</t>
  </si>
  <si>
    <t>BI-COMBUSTIBLE GLP</t>
  </si>
  <si>
    <t>BI-COMBUSTIBLE GNL</t>
  </si>
  <si>
    <t>BI-COMBUSTIBLE GNV</t>
  </si>
  <si>
    <t>BIODIESEL</t>
  </si>
  <si>
    <t>DUAL GLP</t>
  </si>
  <si>
    <t>DUAL GNL</t>
  </si>
  <si>
    <t>DUAL GNV</t>
  </si>
  <si>
    <t>ELECTRICO</t>
  </si>
  <si>
    <t>ETANOL</t>
  </si>
  <si>
    <t>FLEXFUEL</t>
  </si>
  <si>
    <t>GLP</t>
  </si>
  <si>
    <t>GNL</t>
  </si>
  <si>
    <t>GNV</t>
  </si>
  <si>
    <t>HIBRIDO(DIESEL/BATERIAS)</t>
  </si>
  <si>
    <t>HIDROGENO</t>
  </si>
  <si>
    <t>CELDAS DE COMBUSTIBLE</t>
  </si>
  <si>
    <t>HIBRIDO (GASOLINA/BATERIA)</t>
  </si>
  <si>
    <t>SOLAR</t>
  </si>
  <si>
    <t>CAMBIO 1</t>
  </si>
  <si>
    <t>Rectificacion</t>
  </si>
  <si>
    <t>Incorporacion</t>
  </si>
  <si>
    <t>Adecuacion</t>
  </si>
  <si>
    <t>Carroceria=Baranda</t>
  </si>
  <si>
    <t>Carroceria=Furgon</t>
  </si>
  <si>
    <t>Carroceria=Cisterna</t>
  </si>
  <si>
    <t>Carroceria=Volquete</t>
  </si>
  <si>
    <t>registro_m</t>
  </si>
  <si>
    <t>resgistro_1</t>
  </si>
  <si>
    <t>resgistro_2</t>
  </si>
  <si>
    <t>registro_r1</t>
  </si>
  <si>
    <t>registro_r2</t>
  </si>
  <si>
    <t>registro_i2</t>
  </si>
  <si>
    <t>registro_a1</t>
  </si>
  <si>
    <t>registro_i1</t>
  </si>
  <si>
    <t>registro_a3</t>
  </si>
  <si>
    <t>NOTAS</t>
  </si>
  <si>
    <t>resgistro_R</t>
  </si>
  <si>
    <t>registro_R</t>
  </si>
  <si>
    <t>registro_I_I</t>
  </si>
  <si>
    <t>Carroceria="suv"</t>
  </si>
  <si>
    <t>Modificación</t>
  </si>
  <si>
    <t>Rectificación</t>
  </si>
  <si>
    <t>Incorporación</t>
  </si>
  <si>
    <t>Adecuación</t>
  </si>
  <si>
    <t>Carroceria =" "</t>
  </si>
  <si>
    <t>Clase =" "</t>
  </si>
  <si>
    <t>Marca =" "</t>
  </si>
  <si>
    <t>Modelo =" "</t>
  </si>
  <si>
    <t>Año fab. =" "</t>
  </si>
  <si>
    <t>Año mod. =" "</t>
  </si>
  <si>
    <t>Combus. =" "</t>
  </si>
  <si>
    <t>VIN =" "</t>
  </si>
  <si>
    <t>SERIE =" "</t>
  </si>
  <si>
    <t>Nº Motor =" "</t>
  </si>
  <si>
    <t>Cilindra. =" "</t>
  </si>
  <si>
    <t>Colores =" "</t>
  </si>
  <si>
    <t>Poten. =" "</t>
  </si>
  <si>
    <t>For. Rod =" "</t>
  </si>
  <si>
    <t>Ruedas =" "</t>
  </si>
  <si>
    <t>Nº Ejes =" "</t>
  </si>
  <si>
    <t>Asientos =" "</t>
  </si>
  <si>
    <t>Pasaj. =" "</t>
  </si>
  <si>
    <t>Peso N. =" "</t>
  </si>
  <si>
    <t>Peso B. =" "</t>
  </si>
  <si>
    <t>Longit. =" "</t>
  </si>
  <si>
    <t>Altura =" "</t>
  </si>
  <si>
    <t>Ancho =" "</t>
  </si>
  <si>
    <t>Carga U. =" "</t>
  </si>
  <si>
    <t>Categ. =" "</t>
  </si>
  <si>
    <t>Notas:</t>
  </si>
  <si>
    <t>Titular o Propietario</t>
  </si>
  <si>
    <t>Dua</t>
  </si>
  <si>
    <t>carrocería</t>
  </si>
  <si>
    <t>Categoría</t>
  </si>
  <si>
    <t xml:space="preserve">Ruedas </t>
  </si>
  <si>
    <t xml:space="preserve">Marca </t>
  </si>
  <si>
    <t xml:space="preserve">Nro. Ejes  </t>
  </si>
  <si>
    <t xml:space="preserve">Modelo </t>
  </si>
  <si>
    <t>Peso seco</t>
  </si>
  <si>
    <t xml:space="preserve">Peso Bruto  </t>
  </si>
  <si>
    <t>Carga Útil</t>
  </si>
  <si>
    <t xml:space="preserve">Haber efectuado la inspección técnica del vehículo, cuyas características a  registrar  son las siguientes:  </t>
  </si>
  <si>
    <t xml:space="preserve">Modelo  </t>
  </si>
  <si>
    <t>Año Modelo</t>
  </si>
  <si>
    <t>Largo</t>
  </si>
  <si>
    <t>CERTIFICADO DE CONFORMIDAD DE MONTAJE</t>
  </si>
  <si>
    <t xml:space="preserve">que   el </t>
  </si>
  <si>
    <t xml:space="preserve"> eferido montaje  efectuado cumple con las condiciones técnicas exigidas por el fabricante del vehículo automotor nuevo y  no  afectan negativamente  la  seguridad  del  mismo, el tránsito  terrestrer, el  medio  ambiente  o  incumplen  con  las  condiciones  técnicas  establecidas en la normativa  vigente,  conforme  al  D.S. N° 058-2003-MTC/15 y al  D.S. N° 017-2008-MTC/15 entre otros.</t>
  </si>
  <si>
    <t>CERTIFICADO DE CONFORMIDAD DE FABRICACION</t>
  </si>
  <si>
    <t>que   la</t>
  </si>
  <si>
    <t>fabricación  del vehículo    no  afectan negativamente  la  seguridad  del  mismo, el tránsito  terrestre,  el  medio  ambiente  o  incumplen  con  las  condiciones  técnicas  establecidas en la normativa  vigente en la materia: (D.S. 058-2003-MTC/15  y  D.S. 017-2009-MTC/5)</t>
  </si>
  <si>
    <t>Carrocería</t>
  </si>
  <si>
    <t>Placa o Dua</t>
  </si>
  <si>
    <t xml:space="preserve">Se  expide  el presente  certificado en la ciudad de   Lima,  el  </t>
  </si>
  <si>
    <t xml:space="preserve"> Se  expide  el presente  certificado en la ciudad de   Lima,  el</t>
  </si>
  <si>
    <t>mi chana</t>
  </si>
  <si>
    <t>suzuki</t>
  </si>
  <si>
    <t>Ertiga</t>
  </si>
  <si>
    <t>gris</t>
  </si>
  <si>
    <t>125fred58detr7g4t</t>
  </si>
  <si>
    <t>12458dert</t>
  </si>
  <si>
    <t>125@45rpm</t>
  </si>
  <si>
    <t>4x2</t>
  </si>
  <si>
    <t xml:space="preserve">la base de datos es oculta </t>
  </si>
  <si>
    <t>12kiuyhgfdtrfufgj78</t>
  </si>
  <si>
    <t>ghjh</t>
  </si>
  <si>
    <t>hjfj</t>
  </si>
  <si>
    <t>jfgj</t>
  </si>
  <si>
    <t>fgjfgjf</t>
  </si>
  <si>
    <t>hjfgh</t>
  </si>
  <si>
    <t>jfghjfgjhfg</t>
  </si>
  <si>
    <t>fghjfgjh</t>
  </si>
  <si>
    <t>fghjfgjfg</t>
  </si>
  <si>
    <t>jfgjhhg</t>
  </si>
  <si>
    <t>Fgjfghjfgj</t>
  </si>
  <si>
    <t>fghjfghj</t>
  </si>
  <si>
    <t>Carroceria ="baranda "</t>
  </si>
  <si>
    <t>Clase ="n1 "</t>
  </si>
  <si>
    <t>Marca ="toyota "</t>
  </si>
  <si>
    <t>Modelo =" ertiga"</t>
  </si>
  <si>
    <t>Año fab. =" 1988"</t>
  </si>
  <si>
    <t>Año mod. ="2015 "</t>
  </si>
  <si>
    <t>Combus. ="gasolina "</t>
  </si>
  <si>
    <t>VIN =" 154875frtgyhu2j4"</t>
  </si>
  <si>
    <t>SERIE =" 154875frtgyhu2j4"</t>
  </si>
  <si>
    <t>Nº Motor =" fgtrde5874"</t>
  </si>
  <si>
    <t>Cilindra. =" 1985"</t>
  </si>
  <si>
    <t>Colores ="blanco/rojo/azul "</t>
  </si>
  <si>
    <t>Poten. ="1985@48 pm</t>
  </si>
  <si>
    <t>For. Rod ="4x2 "</t>
  </si>
  <si>
    <t>Ruedas ="4 "</t>
  </si>
  <si>
    <t>Nº Ejes ="2 "</t>
  </si>
  <si>
    <t>Asientos ="5 "</t>
  </si>
  <si>
    <t>Pasaj. ="4 "</t>
  </si>
  <si>
    <t>Peso N. ="2050 kg "</t>
  </si>
  <si>
    <t>Peso B. ="2580 kg. "</t>
  </si>
  <si>
    <t>Carga U. ="530 kg."</t>
  </si>
  <si>
    <t>Longit. ="4.58  mts"</t>
  </si>
  <si>
    <t>Altura =" 1.69 mts"</t>
  </si>
  <si>
    <t>Ancho ="1.70 mts "</t>
  </si>
  <si>
    <t>Propietario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</si>
</sst>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######################"/>
    <numFmt numFmtId="165" formatCode="[$-C0A]d\ &quot;de&quot;\ mmmm\ &quot;de&quot;\ yyyy;@"/>
  </numFmts>
  <fonts count="23" x14ac:knownFonts="1">
    <font>
      <sz val="11"/>
      <color theme="1"/>
      <name val="Calibri"/>
      <family val="2"/>
      <scheme val="minor"/>
    </font>
    <font>
      <sz val="10"/>
      <color rgb="FFDDDDDD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color theme="1"/>
      <name val="Times New Roman"/>
      <family val="1"/>
    </font>
    <font>
      <b/>
      <i/>
      <sz val="12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u/>
      <sz val="8.5"/>
      <color theme="1"/>
      <name val="Arial"/>
      <family val="2"/>
    </font>
    <font>
      <sz val="8"/>
      <name val="Arial"/>
      <family val="2"/>
    </font>
    <font>
      <sz val="24"/>
      <color rgb="FF000000"/>
      <name val="Calibri"/>
      <family val="2"/>
    </font>
    <font>
      <b/>
      <sz val="16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top"/>
    </xf>
    <xf numFmtId="0" fontId="0" fillId="0" borderId="0" xfId="0" quotePrefix="1"/>
    <xf numFmtId="0" fontId="2" fillId="0" borderId="0" xfId="1" quotePrefix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Fill="1" applyBorder="1"/>
    <xf numFmtId="0" fontId="0" fillId="0" borderId="12" xfId="0" applyBorder="1"/>
    <xf numFmtId="0" fontId="0" fillId="0" borderId="8" xfId="0" applyFill="1" applyBorder="1"/>
    <xf numFmtId="0" fontId="0" fillId="0" borderId="7" xfId="0" applyFill="1" applyBorder="1"/>
    <xf numFmtId="11" fontId="0" fillId="0" borderId="0" xfId="0" applyNumberFormat="1"/>
    <xf numFmtId="0" fontId="0" fillId="0" borderId="15" xfId="0" applyBorder="1"/>
    <xf numFmtId="165" fontId="0" fillId="0" borderId="0" xfId="0" applyNumberFormat="1"/>
    <xf numFmtId="22" fontId="0" fillId="0" borderId="0" xfId="0" applyNumberFormat="1"/>
    <xf numFmtId="0" fontId="3" fillId="0" borderId="0" xfId="0" applyFont="1"/>
    <xf numFmtId="0" fontId="0" fillId="0" borderId="0" xfId="0" applyProtection="1">
      <protection locked="0"/>
    </xf>
    <xf numFmtId="0" fontId="0" fillId="0" borderId="0" xfId="0" applyFont="1" applyAlignment="1" applyProtection="1">
      <alignment vertical="top"/>
      <protection locked="0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3" fillId="0" borderId="1" xfId="0" applyFont="1" applyBorder="1" applyProtection="1">
      <protection hidden="1"/>
    </xf>
    <xf numFmtId="0" fontId="3" fillId="0" borderId="1" xfId="0" applyFont="1" applyBorder="1" applyAlignment="1" applyProtection="1">
      <alignment wrapText="1"/>
      <protection hidden="1"/>
    </xf>
    <xf numFmtId="0" fontId="0" fillId="0" borderId="1" xfId="0" applyBorder="1" applyAlignment="1" applyProtection="1">
      <alignment horizontal="left"/>
      <protection hidden="1"/>
    </xf>
    <xf numFmtId="0" fontId="3" fillId="0" borderId="4" xfId="0" applyFont="1" applyBorder="1" applyProtection="1">
      <protection hidden="1"/>
    </xf>
    <xf numFmtId="0" fontId="0" fillId="0" borderId="2" xfId="0" applyBorder="1" applyAlignment="1" applyProtection="1">
      <alignment horizontal="left"/>
      <protection hidden="1"/>
    </xf>
    <xf numFmtId="0" fontId="0" fillId="0" borderId="0" xfId="0" quotePrefix="1" applyProtection="1">
      <protection hidden="1"/>
    </xf>
    <xf numFmtId="0" fontId="0" fillId="0" borderId="1" xfId="0" applyBorder="1" applyAlignment="1" applyProtection="1">
      <alignment horizontal="left" vertical="top"/>
      <protection hidden="1"/>
    </xf>
    <xf numFmtId="0" fontId="0" fillId="0" borderId="3" xfId="0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left"/>
      <protection hidden="1"/>
    </xf>
    <xf numFmtId="0" fontId="0" fillId="0" borderId="14" xfId="0" applyBorder="1" applyAlignment="1" applyProtection="1">
      <alignment horizontal="left"/>
      <protection hidden="1"/>
    </xf>
    <xf numFmtId="164" fontId="0" fillId="3" borderId="13" xfId="0" applyNumberFormat="1" applyFont="1" applyFill="1" applyBorder="1" applyAlignment="1" applyProtection="1">
      <alignment horizontal="left" vertical="top"/>
      <protection hidden="1"/>
    </xf>
    <xf numFmtId="0" fontId="5" fillId="0" borderId="0" xfId="0" applyFont="1" applyProtection="1">
      <protection hidden="1"/>
    </xf>
    <xf numFmtId="0" fontId="3" fillId="0" borderId="0" xfId="0" applyFont="1" applyFill="1" applyBorder="1" applyProtection="1"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0" xfId="0" applyFont="1" applyAlignment="1" applyProtection="1">
      <alignment vertical="top"/>
      <protection hidden="1"/>
    </xf>
    <xf numFmtId="0" fontId="6" fillId="0" borderId="0" xfId="0" applyFont="1" applyAlignment="1" applyProtection="1">
      <alignment vertical="top" wrapText="1"/>
      <protection hidden="1"/>
    </xf>
    <xf numFmtId="0" fontId="6" fillId="0" borderId="0" xfId="0" applyFont="1" applyAlignment="1" applyProtection="1">
      <alignment vertical="top"/>
      <protection hidden="1"/>
    </xf>
    <xf numFmtId="0" fontId="0" fillId="0" borderId="0" xfId="0" applyFont="1" applyProtection="1">
      <protection hidden="1"/>
    </xf>
    <xf numFmtId="0" fontId="11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justify" vertical="center"/>
      <protection locked="0"/>
    </xf>
    <xf numFmtId="0" fontId="16" fillId="0" borderId="0" xfId="0" applyFont="1" applyAlignment="1" applyProtection="1">
      <alignment horizontal="justify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14" fillId="0" borderId="0" xfId="0" applyFont="1" applyAlignment="1" applyProtection="1">
      <alignment vertical="center"/>
      <protection hidden="1"/>
    </xf>
    <xf numFmtId="0" fontId="16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Alignment="1" applyProtection="1">
      <protection hidden="1"/>
    </xf>
    <xf numFmtId="0" fontId="12" fillId="0" borderId="0" xfId="0" applyFont="1" applyAlignment="1" applyProtection="1">
      <alignment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Border="1" applyProtection="1">
      <protection hidden="1"/>
    </xf>
    <xf numFmtId="0" fontId="3" fillId="0" borderId="0" xfId="0" applyFont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left" vertical="top"/>
      <protection hidden="1"/>
    </xf>
    <xf numFmtId="0" fontId="17" fillId="0" borderId="0" xfId="0" applyFont="1" applyAlignment="1" applyProtection="1">
      <alignment vertical="center"/>
      <protection hidden="1"/>
    </xf>
    <xf numFmtId="0" fontId="15" fillId="0" borderId="0" xfId="0" applyFont="1" applyAlignment="1" applyProtection="1">
      <alignment horizontal="justify" vertical="center"/>
      <protection hidden="1"/>
    </xf>
    <xf numFmtId="0" fontId="18" fillId="0" borderId="0" xfId="0" applyFont="1" applyAlignment="1" applyProtection="1">
      <alignment vertical="center"/>
      <protection hidden="1"/>
    </xf>
    <xf numFmtId="0" fontId="11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Alignment="1" applyProtection="1">
      <alignment vertical="center"/>
      <protection hidden="1"/>
    </xf>
    <xf numFmtId="0" fontId="3" fillId="0" borderId="1" xfId="0" applyFont="1" applyBorder="1" applyAlignment="1" applyProtection="1">
      <alignment horizontal="left"/>
      <protection hidden="1"/>
    </xf>
    <xf numFmtId="0" fontId="0" fillId="0" borderId="1" xfId="0" quotePrefix="1" applyBorder="1" applyAlignment="1" applyProtection="1">
      <alignment horizontal="left"/>
      <protection hidden="1"/>
    </xf>
    <xf numFmtId="2" fontId="0" fillId="0" borderId="1" xfId="0" applyNumberFormat="1" applyBorder="1" applyAlignment="1" applyProtection="1">
      <alignment horizontal="left"/>
      <protection hidden="1"/>
    </xf>
    <xf numFmtId="1" fontId="0" fillId="0" borderId="1" xfId="0" applyNumberFormat="1" applyBorder="1" applyAlignment="1" applyProtection="1">
      <alignment horizontal="left"/>
      <protection hidden="1"/>
    </xf>
    <xf numFmtId="164" fontId="0" fillId="3" borderId="13" xfId="0" applyNumberFormat="1" applyFont="1" applyFill="1" applyBorder="1" applyAlignment="1" applyProtection="1">
      <alignment horizontal="left"/>
      <protection hidden="1"/>
    </xf>
    <xf numFmtId="0" fontId="0" fillId="0" borderId="1" xfId="0" applyFont="1" applyBorder="1" applyAlignment="1" applyProtection="1">
      <alignment horizontal="center" vertical="center"/>
      <protection hidden="1"/>
    </xf>
    <xf numFmtId="0" fontId="0" fillId="0" borderId="1" xfId="0" applyFont="1" applyBorder="1" applyAlignment="1" applyProtection="1">
      <alignment horizontal="left"/>
      <protection hidden="1"/>
    </xf>
    <xf numFmtId="0" fontId="3" fillId="0" borderId="0" xfId="0" applyFont="1" applyBorder="1" applyAlignment="1" applyProtection="1">
      <alignment horizontal="center" vertical="center"/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protection hidden="1"/>
    </xf>
    <xf numFmtId="0" fontId="0" fillId="2" borderId="0" xfId="0" applyFill="1" applyProtection="1">
      <protection locked="0"/>
    </xf>
    <xf numFmtId="0" fontId="0" fillId="0" borderId="2" xfId="0" applyBorder="1" applyProtection="1">
      <protection locked="0"/>
    </xf>
    <xf numFmtId="0" fontId="0" fillId="2" borderId="0" xfId="0" applyFill="1" applyProtection="1">
      <protection hidden="1"/>
    </xf>
    <xf numFmtId="1" fontId="0" fillId="0" borderId="0" xfId="0" applyNumberFormat="1" applyProtection="1">
      <protection hidden="1"/>
    </xf>
    <xf numFmtId="0" fontId="0" fillId="0" borderId="3" xfId="0" applyBorder="1" applyProtection="1">
      <protection hidden="1"/>
    </xf>
    <xf numFmtId="0" fontId="0" fillId="0" borderId="16" xfId="0" applyBorder="1" applyProtection="1">
      <protection hidden="1"/>
    </xf>
    <xf numFmtId="1" fontId="0" fillId="0" borderId="16" xfId="0" applyNumberFormat="1" applyBorder="1" applyProtection="1">
      <protection hidden="1"/>
    </xf>
    <xf numFmtId="0" fontId="0" fillId="0" borderId="1" xfId="0" applyBorder="1" applyProtection="1">
      <protection hidden="1"/>
    </xf>
    <xf numFmtId="0" fontId="9" fillId="0" borderId="0" xfId="0" applyFont="1" applyProtection="1">
      <protection hidden="1"/>
    </xf>
    <xf numFmtId="0" fontId="9" fillId="0" borderId="0" xfId="0" applyNumberFormat="1" applyFont="1" applyProtection="1">
      <protection hidden="1"/>
    </xf>
    <xf numFmtId="165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top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applyAlignment="1" applyProtection="1">
      <alignment horizontal="left" vertical="center" wrapText="1"/>
      <protection hidden="1"/>
    </xf>
    <xf numFmtId="0" fontId="0" fillId="0" borderId="0" xfId="0" applyFont="1" applyAlignment="1" applyProtection="1">
      <alignment horizontal="center" vertical="top" wrapText="1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21" fillId="0" borderId="0" xfId="0" applyFont="1" applyProtection="1">
      <protection hidden="1"/>
    </xf>
    <xf numFmtId="0" fontId="21" fillId="0" borderId="0" xfId="0" applyFont="1" applyBorder="1" applyAlignment="1" applyProtection="1">
      <alignment horizontal="left" wrapText="1"/>
      <protection hidden="1"/>
    </xf>
    <xf numFmtId="0" fontId="6" fillId="0" borderId="0" xfId="0" applyFont="1" applyBorder="1" applyAlignment="1" applyProtection="1">
      <alignment vertical="top" wrapText="1"/>
      <protection hidden="1"/>
    </xf>
    <xf numFmtId="0" fontId="21" fillId="0" borderId="0" xfId="0" applyFont="1" applyAlignment="1" applyProtection="1">
      <alignment horizontal="left" vertical="top" wrapText="1"/>
      <protection hidden="1"/>
    </xf>
    <xf numFmtId="0" fontId="22" fillId="0" borderId="0" xfId="0" applyFont="1" applyAlignment="1" applyProtection="1">
      <alignment horizontal="center" vertical="top"/>
      <protection hidden="1"/>
    </xf>
  </cellXfs>
  <cellStyles count="2">
    <cellStyle name="Hipervínculo" xfId="1" builtinId="8"/>
    <cellStyle name="Normal" xfId="0" builtinId="0"/>
  </cellStyles>
  <dxfs count="86"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numFmt numFmtId="165" formatCode="[$-C0A]d\ &quot;de&quot;\ mmmm\ &quot;de&quot;\ yyyy;@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1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left style="thin">
          <color indexed="64"/>
        </left>
      </border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88</xdr:col>
      <xdr:colOff>466725</xdr:colOff>
      <xdr:row>1</xdr:row>
      <xdr:rowOff>247651</xdr:rowOff>
    </xdr:from>
    <xdr:to>
      <xdr:col>96</xdr:col>
      <xdr:colOff>76200</xdr:colOff>
      <xdr:row>7</xdr:row>
      <xdr:rowOff>1</xdr:rowOff>
    </xdr:to>
    <xdr:sp macro="[0]!llamar" textlink="">
      <xdr:nvSpPr>
        <xdr:cNvPr id="2" name="1 Rectángulo redondeado"/>
        <xdr:cNvSpPr/>
      </xdr:nvSpPr>
      <xdr:spPr>
        <a:xfrm>
          <a:off x="3514725" y="514351"/>
          <a:ext cx="5705475" cy="1257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es-ES" sz="4800" b="1"/>
            <a:t>Sistema de Romise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0</xdr:row>
          <xdr:rowOff>133350</xdr:rowOff>
        </xdr:from>
        <xdr:to>
          <xdr:col>5</xdr:col>
          <xdr:colOff>400050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ES" sz="2400" b="0" i="0" u="none" strike="noStrike" baseline="0">
                  <a:solidFill>
                    <a:srgbClr val="000000"/>
                  </a:solidFill>
                  <a:latin typeface="Calibri"/>
                </a:rPr>
                <a:t>Modificación.PDF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47625</xdr:rowOff>
        </xdr:from>
        <xdr:to>
          <xdr:col>4</xdr:col>
          <xdr:colOff>628650</xdr:colOff>
          <xdr:row>1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</a:rPr>
                <a:t>Fabricacion.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1</xdr:row>
          <xdr:rowOff>247650</xdr:rowOff>
        </xdr:from>
        <xdr:to>
          <xdr:col>2</xdr:col>
          <xdr:colOff>1200150</xdr:colOff>
          <xdr:row>3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erti" displayName="certi" ref="B3:CF6" totalsRowShown="0" headerRowDxfId="85" dataDxfId="84" tableBorderDxfId="83">
  <autoFilter ref="B3:CF6"/>
  <tableColumns count="83">
    <tableColumn id="1" name="Nº Certificado" dataDxfId="82"/>
    <tableColumn id="17" name="Expediente" dataDxfId="81"/>
    <tableColumn id="2" name="Nombre" dataDxfId="80"/>
    <tableColumn id="3" name="Placa o Dua" dataDxfId="79"/>
    <tableColumn id="18" name="Categoria" dataDxfId="78"/>
    <tableColumn id="19" name="Marca" dataDxfId="77"/>
    <tableColumn id="20" name="Modelo" dataDxfId="76"/>
    <tableColumn id="21" name="Color" dataDxfId="75"/>
    <tableColumn id="22" name="VIN" dataDxfId="74"/>
    <tableColumn id="23" name="Serie" dataDxfId="73"/>
    <tableColumn id="24" name="Motor" dataDxfId="72"/>
    <tableColumn id="4" name="Carroceria" dataDxfId="71"/>
    <tableColumn id="27" name="Potencia" dataDxfId="70"/>
    <tableColumn id="28" name="Formula Rodante" dataDxfId="69"/>
    <tableColumn id="29" name="Combustible" dataDxfId="68"/>
    <tableColumn id="30" name="Asientos" dataDxfId="67"/>
    <tableColumn id="26" name="Pasajeros" dataDxfId="66"/>
    <tableColumn id="31" name="Ruedas" dataDxfId="65"/>
    <tableColumn id="32" name="Ejes" dataDxfId="64"/>
    <tableColumn id="33" name="Cilindros" dataDxfId="63"/>
    <tableColumn id="34" name="Longitud" dataDxfId="62"/>
    <tableColumn id="35" name="Altura" dataDxfId="61"/>
    <tableColumn id="36" name="Ancho" dataDxfId="60"/>
    <tableColumn id="37" name="Cilindrada" dataDxfId="59"/>
    <tableColumn id="38" name="Peso Bruto" dataDxfId="58"/>
    <tableColumn id="39" name="Peso Neto" dataDxfId="57"/>
    <tableColumn id="40" name="Carga Util" dataDxfId="56"/>
    <tableColumn id="5" name="clase" dataDxfId="55"/>
    <tableColumn id="8" name="Año Fabricacion" dataDxfId="54"/>
    <tableColumn id="9" name="Año Mod" dataDxfId="53"/>
    <tableColumn id="87" name="registro_m" dataDxfId="52"/>
    <tableColumn id="49" name="modifi_1" dataDxfId="51"/>
    <tableColumn id="50" name="modifi_2" dataDxfId="50"/>
    <tableColumn id="51" name="modifi_3" dataDxfId="49"/>
    <tableColumn id="52" name="modifi_4" dataDxfId="48"/>
    <tableColumn id="53" name="modifi_5" dataDxfId="47"/>
    <tableColumn id="54" name="modifi_6" dataDxfId="46"/>
    <tableColumn id="55" name="modifi_7" dataDxfId="45"/>
    <tableColumn id="56" name="modifi_8" dataDxfId="44"/>
    <tableColumn id="57" name="modifi_9" dataDxfId="43"/>
    <tableColumn id="58" name="modifi_10" dataDxfId="42"/>
    <tableColumn id="25" name="modifi_11" dataDxfId="41"/>
    <tableColumn id="41" name="modifi_12" dataDxfId="40"/>
    <tableColumn id="91" name="resgistro_1" dataDxfId="39">
      <calculatedColumnFormula>+CONCATENATE(certi[[#This Row],[modifi_1]], " ; ",certi[[#This Row],[modifi_2]]," ; ", certi[[#This Row],[modifi_3]], " ; ",certi[[#This Row],[modifi_4]], " ;  ",certi[[#This Row],[modifi_5]]," ; ",certi[[#This Row],[modifi_6]])</calculatedColumnFormula>
    </tableColumn>
    <tableColumn id="92" name="resgistro_2" dataDxfId="38">
      <calculatedColumnFormula>+CONCATENATE(certi[[#This Row],[modifi_7]]," ; ",certi[[#This Row],[modifi_8]]," ; ",certi[[#This Row],[modifi_9]]," ; ",certi[[#This Row],[modifi_10]]," ; ",certi[[#This Row],[modifi_11]]," ; ",certi[[#This Row],[modifi_12]])</calculatedColumnFormula>
    </tableColumn>
    <tableColumn id="81" name="resgistro_R" dataDxfId="37"/>
    <tableColumn id="44" name="rectifi_1" dataDxfId="36"/>
    <tableColumn id="45" name="rectifi_2" dataDxfId="35"/>
    <tableColumn id="46" name="rectifi_3" dataDxfId="34"/>
    <tableColumn id="14" name="rectifi_4" dataDxfId="33"/>
    <tableColumn id="15" name="rectifi_5" dataDxfId="32"/>
    <tableColumn id="16" name="rectifi_6" dataDxfId="31"/>
    <tableColumn id="12" name="rectifi_7" dataDxfId="30"/>
    <tableColumn id="13" name="rectifi_8" dataDxfId="29"/>
    <tableColumn id="11" name="rectifi_9" dataDxfId="28"/>
    <tableColumn id="10" name="rectifi_10" dataDxfId="27"/>
    <tableColumn id="59" name="rectifi_11" dataDxfId="26"/>
    <tableColumn id="60" name="rectifi_12" dataDxfId="25"/>
    <tableColumn id="47" name="registro_r1" dataDxfId="4">
      <calculatedColumnFormula>+CONCATENATE(certi[[#This Row],[rectifi_1]]," ; ",certi[[#This Row],[rectifi_2]]," ; ",certi[[#This Row],[rectifi_3]]," ; ",certi[[#This Row],[rectifi_4]]," ; ",certi[[#This Row],[rectifi_5]]," ; ",certi[[#This Row],[rectifi_6]])</calculatedColumnFormula>
    </tableColumn>
    <tableColumn id="61" name="registro_r2" dataDxfId="3">
      <calculatedColumnFormula>+CONCATENATE(certi[[#This Row],[rectifi_7]]," ; ",certi[[#This Row],[rectifi_8]]," ; ",certi[[#This Row],[rectifi_9]]," ; ",certi[[#This Row],[rectifi_10]]," ; ",certi[[#This Row],[rectifi_11]]," ; ",certi[[#This Row],[rectifi_12]])</calculatedColumnFormula>
    </tableColumn>
    <tableColumn id="82" name="registro_R" dataDxfId="24"/>
    <tableColumn id="63" name="Incorpo_1" dataDxfId="23"/>
    <tableColumn id="64" name="Incorpo_2" dataDxfId="22"/>
    <tableColumn id="65" name="Incorpo_3" dataDxfId="21"/>
    <tableColumn id="66" name="Incorpo_4" dataDxfId="20"/>
    <tableColumn id="67" name="Incorpo_5" dataDxfId="19"/>
    <tableColumn id="68" name="Incorpo_6" dataDxfId="18"/>
    <tableColumn id="69" name="Incorpo_7" dataDxfId="17"/>
    <tableColumn id="70" name="Incorpo_8" dataDxfId="16"/>
    <tableColumn id="71" name="Incorpo_9" dataDxfId="15"/>
    <tableColumn id="6" name="Incorpo_10" dataDxfId="14"/>
    <tableColumn id="7" name="Incorpo_11" dataDxfId="13"/>
    <tableColumn id="42" name="Incorpo_12" dataDxfId="12"/>
    <tableColumn id="80" name="registro_i1" dataDxfId="2">
      <calculatedColumnFormula>+CONCATENATE(certi[[#This Row],[Incorpo_1]]," ; ",certi[[#This Row],[Incorpo_2]]," ; ",certi[[#This Row],[Incorpo_3]]," ; ",certi[[#This Row],[Incorpo_4]]," ; ",certi[[#This Row],[Incorpo_5]]," ; ",certi[[#This Row],[Incorpo_6]])</calculatedColumnFormula>
    </tableColumn>
    <tableColumn id="72" name="registro_i2" dataDxfId="1">
      <calculatedColumnFormula>+CONCATENATE(certi[[#This Row],[Incorpo_7]]," ; ",certi[[#This Row],[Incorpo_8]]," ; ",certi[[#This Row],[Incorpo_9]]," ; ",certi[[#This Row],[Incorpo_10]]," ; ",certi[[#This Row],[Incorpo_11]]," ; ",certi[[#This Row],[Incorpo_12]]," ; ",)</calculatedColumnFormula>
    </tableColumn>
    <tableColumn id="83" name="registro_I_I" dataDxfId="11"/>
    <tableColumn id="73" name="adecua_1" dataDxfId="10"/>
    <tableColumn id="74" name="adecua_2" dataDxfId="9"/>
    <tableColumn id="75" name="adecua_3" dataDxfId="8"/>
    <tableColumn id="43" name="adecua_4" dataDxfId="7"/>
    <tableColumn id="79" name="registro_a1" dataDxfId="0">
      <calculatedColumnFormula>+CONCATENATE(certi[[#This Row],[adecua_1]]," ; ",certi[[#This Row],[adecua_2]]," ; ",certi[[#This Row],[adecua_3]]," ; ",certi[[#This Row],[adecua_4]])</calculatedColumnFormula>
    </tableColumn>
    <tableColumn id="76" name="NOTAS" dataDxfId="6"/>
    <tableColumn id="78" name="registro_a3" dataDxfId="5">
      <calculatedColumnFormula>IF(CF4=0,IF(B4="",0,NOW()),CF4)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N2KyLuhpHdY" TargetMode="External"/><Relationship Id="rId2" Type="http://schemas.openxmlformats.org/officeDocument/2006/relationships/hyperlink" Target="https://www.youtube.com/watch?v=37PO454jEAI&amp;t=0s" TargetMode="External"/><Relationship Id="rId1" Type="http://schemas.openxmlformats.org/officeDocument/2006/relationships/hyperlink" Target="https://www.youtube.com/watch?v=Ge-3k0tkfXo&amp;t=0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CG7"/>
  <sheetViews>
    <sheetView showGridLines="0" topLeftCell="CH1" zoomScaleNormal="100" workbookViewId="0">
      <selection activeCell="BW1" sqref="BW1"/>
    </sheetView>
  </sheetViews>
  <sheetFormatPr baseColWidth="10" defaultRowHeight="15" x14ac:dyDescent="0.25"/>
  <cols>
    <col min="1" max="1" width="11.42578125" style="19"/>
    <col min="2" max="2" width="6.140625" style="19" customWidth="1"/>
    <col min="3" max="3" width="9.85546875" style="19" customWidth="1"/>
    <col min="4" max="4" width="52.7109375" style="24" customWidth="1"/>
    <col min="5" max="5" width="11.140625" style="24" customWidth="1"/>
    <col min="6" max="9" width="15.7109375" style="24" customWidth="1"/>
    <col min="10" max="10" width="24.28515625" style="85" customWidth="1"/>
    <col min="11" max="12" width="15.7109375" style="24" customWidth="1"/>
    <col min="13" max="14" width="14.5703125" style="24" customWidth="1"/>
    <col min="15" max="15" width="17.42578125" style="24" customWidth="1"/>
    <col min="16" max="16" width="14.5703125" style="24" customWidth="1"/>
    <col min="17" max="17" width="11.7109375" style="24" customWidth="1"/>
    <col min="18" max="18" width="12.42578125" style="24" customWidth="1"/>
    <col min="19" max="19" width="10.28515625" style="24" customWidth="1"/>
    <col min="20" max="20" width="6.85546875" style="24" customWidth="1"/>
    <col min="21" max="21" width="11.140625" style="24" customWidth="1"/>
    <col min="22" max="22" width="11.42578125" style="24" customWidth="1"/>
    <col min="23" max="23" width="8.85546875" style="24" customWidth="1"/>
    <col min="24" max="24" width="9.5703125" style="24" customWidth="1"/>
    <col min="25" max="25" width="12.28515625" style="24" customWidth="1"/>
    <col min="26" max="26" width="13" style="24" customWidth="1"/>
    <col min="27" max="27" width="12.85546875" style="24" customWidth="1"/>
    <col min="28" max="29" width="11.85546875" style="24" customWidth="1"/>
    <col min="30" max="30" width="17.140625" style="24" customWidth="1"/>
    <col min="31" max="31" width="11.42578125" style="24" customWidth="1"/>
    <col min="32" max="32" width="17.28515625" style="24" customWidth="1"/>
    <col min="33" max="33" width="24.28515625" style="24" customWidth="1"/>
    <col min="34" max="34" width="15.7109375" style="24" customWidth="1"/>
    <col min="35" max="35" width="13.5703125" style="24" customWidth="1"/>
    <col min="36" max="41" width="11.42578125" style="24" customWidth="1"/>
    <col min="42" max="43" width="13.85546875" style="24" customWidth="1"/>
    <col min="44" max="44" width="17.7109375" style="24" customWidth="1"/>
    <col min="45" max="45" width="27.140625" style="24" customWidth="1"/>
    <col min="46" max="48" width="13.85546875" style="24" customWidth="1"/>
    <col min="49" max="56" width="11.42578125" style="24" customWidth="1"/>
    <col min="57" max="57" width="12" style="24" customWidth="1"/>
    <col min="58" max="60" width="11.42578125" style="24" customWidth="1"/>
    <col min="61" max="62" width="11.85546875" style="24" customWidth="1"/>
    <col min="63" max="75" width="11.42578125" style="24" customWidth="1"/>
    <col min="76" max="77" width="11.85546875" style="24" customWidth="1"/>
    <col min="78" max="83" width="11.42578125" style="24" customWidth="1"/>
    <col min="84" max="84" width="30.5703125" style="24" customWidth="1"/>
    <col min="85" max="85" width="11.42578125" style="24" customWidth="1"/>
    <col min="86" max="16384" width="11.42578125" style="19"/>
  </cols>
  <sheetData>
    <row r="1" spans="2:84" ht="21" customHeight="1" x14ac:dyDescent="0.25">
      <c r="B1" s="82">
        <v>1</v>
      </c>
      <c r="C1" s="82">
        <v>2</v>
      </c>
      <c r="D1" s="84">
        <v>3</v>
      </c>
      <c r="E1" s="84">
        <v>4</v>
      </c>
      <c r="F1" s="84">
        <v>5</v>
      </c>
      <c r="G1" s="84">
        <v>6</v>
      </c>
      <c r="H1" s="84">
        <v>7</v>
      </c>
      <c r="I1" s="84">
        <v>8</v>
      </c>
      <c r="J1" s="84">
        <v>9</v>
      </c>
      <c r="K1" s="84">
        <v>10</v>
      </c>
      <c r="L1" s="84">
        <v>11</v>
      </c>
      <c r="M1" s="84">
        <v>12</v>
      </c>
      <c r="N1" s="84">
        <v>13</v>
      </c>
      <c r="O1" s="84">
        <v>14</v>
      </c>
      <c r="P1" s="84">
        <v>15</v>
      </c>
      <c r="Q1" s="84">
        <v>16</v>
      </c>
      <c r="R1" s="84">
        <v>17</v>
      </c>
      <c r="S1" s="84">
        <v>18</v>
      </c>
      <c r="T1" s="84">
        <v>19</v>
      </c>
      <c r="U1" s="84">
        <v>20</v>
      </c>
      <c r="V1" s="84">
        <v>21</v>
      </c>
      <c r="W1" s="84">
        <v>22</v>
      </c>
      <c r="X1" s="84">
        <v>23</v>
      </c>
      <c r="Y1" s="84">
        <v>24</v>
      </c>
      <c r="Z1" s="84">
        <v>25</v>
      </c>
      <c r="AA1" s="84">
        <v>26</v>
      </c>
      <c r="AB1" s="84">
        <v>27</v>
      </c>
      <c r="AC1" s="84">
        <v>28</v>
      </c>
      <c r="AD1" s="84">
        <v>29</v>
      </c>
      <c r="AE1" s="84">
        <v>30</v>
      </c>
      <c r="AF1" s="84">
        <v>31</v>
      </c>
      <c r="AG1" s="84">
        <v>32</v>
      </c>
      <c r="AH1" s="84">
        <v>33</v>
      </c>
      <c r="AI1" s="84">
        <v>34</v>
      </c>
      <c r="AJ1" s="84">
        <v>35</v>
      </c>
      <c r="AK1" s="84">
        <v>36</v>
      </c>
      <c r="AL1" s="84">
        <v>37</v>
      </c>
      <c r="AM1" s="84">
        <v>38</v>
      </c>
      <c r="AN1" s="84">
        <v>39</v>
      </c>
      <c r="AO1" s="84">
        <v>40</v>
      </c>
      <c r="AP1" s="84">
        <v>41</v>
      </c>
      <c r="AQ1" s="84">
        <v>42</v>
      </c>
      <c r="AR1" s="84">
        <v>43</v>
      </c>
      <c r="AS1" s="84">
        <v>44</v>
      </c>
      <c r="AT1" s="84">
        <v>45</v>
      </c>
      <c r="AU1" s="84">
        <v>46</v>
      </c>
      <c r="AV1" s="84">
        <v>47</v>
      </c>
      <c r="AW1" s="84">
        <v>48</v>
      </c>
      <c r="AX1" s="84">
        <v>49</v>
      </c>
      <c r="AY1" s="84">
        <v>50</v>
      </c>
      <c r="AZ1" s="84">
        <v>51</v>
      </c>
      <c r="BA1" s="84">
        <v>52</v>
      </c>
      <c r="BB1" s="84">
        <v>53</v>
      </c>
      <c r="BC1" s="84">
        <v>54</v>
      </c>
      <c r="BD1" s="84">
        <v>55</v>
      </c>
      <c r="BE1" s="84">
        <v>56</v>
      </c>
      <c r="BF1" s="84">
        <v>57</v>
      </c>
      <c r="BG1" s="84">
        <v>58</v>
      </c>
      <c r="BH1" s="84">
        <v>59</v>
      </c>
      <c r="BI1" s="84">
        <v>60</v>
      </c>
      <c r="BJ1" s="84">
        <v>61</v>
      </c>
      <c r="BK1" s="84">
        <v>62</v>
      </c>
      <c r="BL1" s="84">
        <v>63</v>
      </c>
      <c r="BM1" s="84">
        <v>64</v>
      </c>
      <c r="BN1" s="84">
        <v>65</v>
      </c>
      <c r="BO1" s="84">
        <v>66</v>
      </c>
      <c r="BP1" s="84">
        <v>67</v>
      </c>
      <c r="BQ1" s="84">
        <v>68</v>
      </c>
      <c r="BR1" s="84">
        <v>69</v>
      </c>
      <c r="BS1" s="84">
        <v>70</v>
      </c>
      <c r="BT1" s="84">
        <v>71</v>
      </c>
      <c r="BU1" s="84">
        <v>72</v>
      </c>
      <c r="BV1" s="84">
        <v>73</v>
      </c>
      <c r="BW1" s="84">
        <v>74</v>
      </c>
      <c r="BX1" s="84">
        <v>75</v>
      </c>
      <c r="BY1" s="84">
        <v>76</v>
      </c>
      <c r="BZ1" s="84">
        <v>77</v>
      </c>
      <c r="CA1" s="84">
        <v>78</v>
      </c>
      <c r="CB1" s="84">
        <v>79</v>
      </c>
      <c r="CC1" s="84">
        <v>80</v>
      </c>
      <c r="CD1" s="84">
        <v>81</v>
      </c>
      <c r="CE1" s="84">
        <v>82</v>
      </c>
      <c r="CF1" s="84">
        <v>83</v>
      </c>
    </row>
    <row r="2" spans="2:84" ht="21" customHeight="1" x14ac:dyDescent="0.25">
      <c r="B2" s="19">
        <f>MAX(certi[Nº Certificado])+1</f>
        <v>4</v>
      </c>
      <c r="C2" s="19">
        <f>+MAX(certi[[#All],[Expediente]])+1</f>
        <v>4</v>
      </c>
    </row>
    <row r="3" spans="2:84" ht="19.5" customHeight="1" x14ac:dyDescent="0.25">
      <c r="B3" s="19" t="s">
        <v>0</v>
      </c>
      <c r="C3" s="19" t="s">
        <v>10</v>
      </c>
      <c r="D3" s="24" t="s">
        <v>1</v>
      </c>
      <c r="E3" s="24" t="s">
        <v>320</v>
      </c>
      <c r="F3" s="24" t="s">
        <v>21</v>
      </c>
      <c r="G3" s="24" t="s">
        <v>5</v>
      </c>
      <c r="H3" s="24" t="s">
        <v>6</v>
      </c>
      <c r="I3" s="24" t="s">
        <v>22</v>
      </c>
      <c r="J3" s="85" t="s">
        <v>23</v>
      </c>
      <c r="K3" s="24" t="s">
        <v>24</v>
      </c>
      <c r="L3" s="24" t="s">
        <v>25</v>
      </c>
      <c r="M3" s="24" t="s">
        <v>3</v>
      </c>
      <c r="N3" s="24" t="s">
        <v>26</v>
      </c>
      <c r="O3" s="24" t="s">
        <v>27</v>
      </c>
      <c r="P3" s="24" t="s">
        <v>28</v>
      </c>
      <c r="Q3" s="24" t="s">
        <v>29</v>
      </c>
      <c r="R3" s="24" t="s">
        <v>30</v>
      </c>
      <c r="S3" s="24" t="s">
        <v>31</v>
      </c>
      <c r="T3" s="24" t="s">
        <v>32</v>
      </c>
      <c r="U3" s="24" t="s">
        <v>33</v>
      </c>
      <c r="V3" s="24" t="s">
        <v>34</v>
      </c>
      <c r="W3" s="24" t="s">
        <v>35</v>
      </c>
      <c r="X3" s="24" t="s">
        <v>36</v>
      </c>
      <c r="Y3" s="24" t="s">
        <v>37</v>
      </c>
      <c r="Z3" s="24" t="s">
        <v>38</v>
      </c>
      <c r="AA3" s="24" t="s">
        <v>39</v>
      </c>
      <c r="AB3" s="24" t="s">
        <v>40</v>
      </c>
      <c r="AC3" s="24" t="s">
        <v>70</v>
      </c>
      <c r="AD3" s="24" t="s">
        <v>7</v>
      </c>
      <c r="AE3" s="24" t="s">
        <v>8</v>
      </c>
      <c r="AF3" s="90" t="s">
        <v>254</v>
      </c>
      <c r="AG3" s="24" t="s">
        <v>92</v>
      </c>
      <c r="AH3" s="24" t="s">
        <v>94</v>
      </c>
      <c r="AI3" s="24" t="s">
        <v>95</v>
      </c>
      <c r="AJ3" s="24" t="s">
        <v>96</v>
      </c>
      <c r="AK3" s="24" t="s">
        <v>97</v>
      </c>
      <c r="AL3" s="24" t="s">
        <v>98</v>
      </c>
      <c r="AM3" s="24" t="s">
        <v>99</v>
      </c>
      <c r="AN3" s="24" t="s">
        <v>100</v>
      </c>
      <c r="AO3" s="24" t="s">
        <v>101</v>
      </c>
      <c r="AP3" s="24" t="s">
        <v>102</v>
      </c>
      <c r="AQ3" s="24" t="s">
        <v>103</v>
      </c>
      <c r="AR3" s="24" t="s">
        <v>93</v>
      </c>
      <c r="AS3" s="90" t="s">
        <v>255</v>
      </c>
      <c r="AT3" s="90" t="s">
        <v>256</v>
      </c>
      <c r="AU3" s="90" t="s">
        <v>264</v>
      </c>
      <c r="AV3" s="24" t="s">
        <v>104</v>
      </c>
      <c r="AW3" s="24" t="s">
        <v>106</v>
      </c>
      <c r="AX3" s="24" t="s">
        <v>107</v>
      </c>
      <c r="AY3" s="24" t="s">
        <v>108</v>
      </c>
      <c r="AZ3" s="24" t="s">
        <v>109</v>
      </c>
      <c r="BA3" s="24" t="s">
        <v>110</v>
      </c>
      <c r="BB3" s="24" t="s">
        <v>111</v>
      </c>
      <c r="BC3" s="24" t="s">
        <v>112</v>
      </c>
      <c r="BD3" s="24" t="s">
        <v>113</v>
      </c>
      <c r="BE3" s="24" t="s">
        <v>114</v>
      </c>
      <c r="BF3" s="24" t="s">
        <v>115</v>
      </c>
      <c r="BG3" s="24" t="s">
        <v>105</v>
      </c>
      <c r="BH3" s="90" t="s">
        <v>257</v>
      </c>
      <c r="BI3" s="90" t="s">
        <v>258</v>
      </c>
      <c r="BJ3" s="90" t="s">
        <v>265</v>
      </c>
      <c r="BK3" s="24" t="s">
        <v>76</v>
      </c>
      <c r="BL3" s="24" t="s">
        <v>78</v>
      </c>
      <c r="BM3" s="24" t="s">
        <v>79</v>
      </c>
      <c r="BN3" s="24" t="s">
        <v>80</v>
      </c>
      <c r="BO3" s="24" t="s">
        <v>81</v>
      </c>
      <c r="BP3" s="24" t="s">
        <v>82</v>
      </c>
      <c r="BQ3" s="24" t="s">
        <v>83</v>
      </c>
      <c r="BR3" s="24" t="s">
        <v>84</v>
      </c>
      <c r="BS3" s="24" t="s">
        <v>85</v>
      </c>
      <c r="BT3" s="24" t="s">
        <v>86</v>
      </c>
      <c r="BU3" s="24" t="s">
        <v>87</v>
      </c>
      <c r="BV3" s="24" t="s">
        <v>77</v>
      </c>
      <c r="BW3" s="90" t="s">
        <v>261</v>
      </c>
      <c r="BX3" s="90" t="s">
        <v>259</v>
      </c>
      <c r="BY3" s="90" t="s">
        <v>266</v>
      </c>
      <c r="BZ3" s="24" t="s">
        <v>88</v>
      </c>
      <c r="CA3" s="24" t="s">
        <v>89</v>
      </c>
      <c r="CB3" s="24" t="s">
        <v>90</v>
      </c>
      <c r="CC3" s="24" t="s">
        <v>91</v>
      </c>
      <c r="CD3" s="90" t="s">
        <v>260</v>
      </c>
      <c r="CE3" s="24" t="s">
        <v>263</v>
      </c>
      <c r="CF3" s="24" t="s">
        <v>262</v>
      </c>
    </row>
    <row r="4" spans="2:84" ht="19.5" customHeight="1" x14ac:dyDescent="0.25">
      <c r="B4" s="83">
        <v>3</v>
      </c>
      <c r="C4" s="83">
        <v>3</v>
      </c>
      <c r="D4" s="86" t="s">
        <v>333</v>
      </c>
      <c r="E4" s="87" t="s">
        <v>334</v>
      </c>
      <c r="F4" s="87" t="s">
        <v>335</v>
      </c>
      <c r="G4" s="87" t="s">
        <v>336</v>
      </c>
      <c r="H4" s="87" t="s">
        <v>337</v>
      </c>
      <c r="I4" s="87" t="s">
        <v>338</v>
      </c>
      <c r="J4" s="88" t="s">
        <v>339</v>
      </c>
      <c r="K4" s="87" t="s">
        <v>340</v>
      </c>
      <c r="L4" s="87" t="s">
        <v>341</v>
      </c>
      <c r="M4" s="87" t="s">
        <v>342</v>
      </c>
      <c r="N4" s="87" t="s">
        <v>343</v>
      </c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>
        <v>0</v>
      </c>
      <c r="AA4" s="87"/>
      <c r="AB4" s="87"/>
      <c r="AC4" s="87"/>
      <c r="AD4" s="89"/>
      <c r="AE4" s="89"/>
      <c r="AF4" s="90"/>
      <c r="AS4" s="91" t="str">
        <f>+CONCATENATE(certi[[#This Row],[modifi_1]], " ; ",certi[[#This Row],[modifi_2]]," ; ", certi[[#This Row],[modifi_3]], " ; ",certi[[#This Row],[modifi_4]], " ;  ",certi[[#This Row],[modifi_5]]," ; ",certi[[#This Row],[modifi_6]])</f>
        <v xml:space="preserve"> ;  ;  ;  ;   ; </v>
      </c>
      <c r="AT4" s="91" t="str">
        <f>+CONCATENATE(certi[[#This Row],[modifi_7]]," ; ",certi[[#This Row],[modifi_8]]," ; ",certi[[#This Row],[modifi_9]]," ; ",certi[[#This Row],[modifi_10]]," ; ",certi[[#This Row],[modifi_11]]," ; ",certi[[#This Row],[modifi_12]])</f>
        <v xml:space="preserve"> ;  ;  ;  ;  ; </v>
      </c>
      <c r="AU4" s="90"/>
      <c r="BH4" s="91" t="str">
        <f>+CONCATENATE(certi[[#This Row],[rectifi_1]]," ; ",certi[[#This Row],[rectifi_2]]," ; ",certi[[#This Row],[rectifi_3]]," ; ",certi[[#This Row],[rectifi_4]]," ; ",certi[[#This Row],[rectifi_5]]," ; ",certi[[#This Row],[rectifi_6]])</f>
        <v xml:space="preserve"> ;  ;  ;  ;  ; </v>
      </c>
      <c r="BI4" s="91" t="str">
        <f>+CONCATENATE(certi[[#This Row],[rectifi_7]]," ; ",certi[[#This Row],[rectifi_8]]," ; ",certi[[#This Row],[rectifi_9]]," ; ",certi[[#This Row],[rectifi_10]]," ; ",certi[[#This Row],[rectifi_11]]," ; ",certi[[#This Row],[rectifi_12]])</f>
        <v xml:space="preserve"> ;  ;  ;  ;  ; </v>
      </c>
      <c r="BJ4" s="91"/>
      <c r="BW4" s="91" t="str">
        <f>+CONCATENATE(certi[[#This Row],[Incorpo_1]]," ; ",certi[[#This Row],[Incorpo_2]]," ; ",certi[[#This Row],[Incorpo_3]]," ; ",certi[[#This Row],[Incorpo_4]]," ; ",certi[[#This Row],[Incorpo_5]]," ; ",certi[[#This Row],[Incorpo_6]])</f>
        <v xml:space="preserve"> ;  ;  ;  ;  ; </v>
      </c>
      <c r="BX4" s="91" t="str">
        <f>+CONCATENATE(certi[[#This Row],[Incorpo_7]]," ; ",certi[[#This Row],[Incorpo_8]]," ; ",certi[[#This Row],[Incorpo_9]]," ; ",certi[[#This Row],[Incorpo_10]]," ; ",certi[[#This Row],[Incorpo_11]]," ; ",certi[[#This Row],[Incorpo_12]]," ; ",)</f>
        <v xml:space="preserve"> ;  ;  ;  ;  ;  ; </v>
      </c>
      <c r="BY4" s="90"/>
      <c r="CD4" s="91" t="str">
        <f>+CONCATENATE(certi[[#This Row],[adecua_1]]," ; ",certi[[#This Row],[adecua_2]]," ; ",certi[[#This Row],[adecua_3]]," ; ",certi[[#This Row],[adecua_4]])</f>
        <v xml:space="preserve"> ;  ;  ; </v>
      </c>
      <c r="CF4" s="92">
        <f ca="1">IF(CF4=0,IF(B4="",0,NOW()),CF4)</f>
        <v>44726.441433564818</v>
      </c>
    </row>
    <row r="5" spans="2:84" ht="19.5" customHeight="1" x14ac:dyDescent="0.25">
      <c r="B5" s="83">
        <v>2</v>
      </c>
      <c r="C5" s="83">
        <v>2</v>
      </c>
      <c r="D5" s="86" t="s">
        <v>323</v>
      </c>
      <c r="E5" s="87">
        <v>12548</v>
      </c>
      <c r="F5" s="87" t="s">
        <v>20</v>
      </c>
      <c r="G5" s="87" t="s">
        <v>324</v>
      </c>
      <c r="H5" s="87" t="s">
        <v>325</v>
      </c>
      <c r="I5" s="87" t="s">
        <v>326</v>
      </c>
      <c r="J5" s="88" t="s">
        <v>327</v>
      </c>
      <c r="K5" s="87" t="s">
        <v>332</v>
      </c>
      <c r="L5" s="87" t="s">
        <v>328</v>
      </c>
      <c r="M5" s="87" t="s">
        <v>19</v>
      </c>
      <c r="N5" s="87" t="s">
        <v>329</v>
      </c>
      <c r="O5" s="87" t="s">
        <v>330</v>
      </c>
      <c r="P5" s="87" t="s">
        <v>42</v>
      </c>
      <c r="Q5" s="87">
        <v>5</v>
      </c>
      <c r="R5" s="87">
        <v>4</v>
      </c>
      <c r="S5" s="87">
        <v>4</v>
      </c>
      <c r="T5" s="87">
        <v>2</v>
      </c>
      <c r="U5" s="87">
        <v>4</v>
      </c>
      <c r="V5" s="87">
        <v>358</v>
      </c>
      <c r="W5" s="87">
        <v>158</v>
      </c>
      <c r="X5" s="87">
        <v>169</v>
      </c>
      <c r="Y5" s="87">
        <v>1258</v>
      </c>
      <c r="Z5" s="87">
        <v>1838</v>
      </c>
      <c r="AA5" s="87">
        <v>1258</v>
      </c>
      <c r="AB5" s="87">
        <v>580</v>
      </c>
      <c r="AC5" s="87" t="s">
        <v>46</v>
      </c>
      <c r="AD5" s="89">
        <v>2022</v>
      </c>
      <c r="AE5" s="89">
        <v>2021</v>
      </c>
      <c r="AF5" s="90" t="s">
        <v>268</v>
      </c>
      <c r="AG5" s="24" t="s">
        <v>344</v>
      </c>
      <c r="AH5" s="24" t="s">
        <v>345</v>
      </c>
      <c r="AI5" s="24" t="s">
        <v>346</v>
      </c>
      <c r="AJ5" s="24" t="s">
        <v>347</v>
      </c>
      <c r="AK5" s="24" t="s">
        <v>348</v>
      </c>
      <c r="AL5" s="24" t="s">
        <v>349</v>
      </c>
      <c r="AM5" s="24" t="s">
        <v>350</v>
      </c>
      <c r="AN5" s="24" t="s">
        <v>351</v>
      </c>
      <c r="AO5" s="24" t="s">
        <v>352</v>
      </c>
      <c r="AP5" s="24" t="s">
        <v>353</v>
      </c>
      <c r="AQ5" s="24" t="s">
        <v>354</v>
      </c>
      <c r="AR5" s="24" t="s">
        <v>355</v>
      </c>
      <c r="AS5" s="91" t="str">
        <f>+CONCATENATE(certi[[#This Row],[modifi_1]], " ; ",certi[[#This Row],[modifi_2]]," ; ", certi[[#This Row],[modifi_3]], " ; ",certi[[#This Row],[modifi_4]], " ;  ",certi[[#This Row],[modifi_5]]," ; ",certi[[#This Row],[modifi_6]])</f>
        <v>Carroceria ="baranda " ; Clase ="n1 " ; Marca ="toyota " ; Modelo =" ertiga" ;  Año fab. =" 1988" ; Año mod. ="2015 "</v>
      </c>
      <c r="AT5" s="91" t="str">
        <f>+CONCATENATE(certi[[#This Row],[modifi_7]]," ; ",certi[[#This Row],[modifi_8]]," ; ",certi[[#This Row],[modifi_9]]," ; ",certi[[#This Row],[modifi_10]]," ; ",certi[[#This Row],[modifi_11]]," ; ",certi[[#This Row],[modifi_12]])</f>
        <v>Combus. ="gasolina " ; VIN =" 154875frtgyhu2j4" ; SERIE =" 154875frtgyhu2j4" ; Nº Motor =" fgtrde5874" ; Cilindra. =" 1985" ; Colores ="blanco/rojo/azul "</v>
      </c>
      <c r="AU5" s="90" t="s">
        <v>269</v>
      </c>
      <c r="AV5" s="24" t="s">
        <v>356</v>
      </c>
      <c r="AW5" s="24" t="s">
        <v>357</v>
      </c>
      <c r="AX5" s="24" t="s">
        <v>358</v>
      </c>
      <c r="AY5" s="24" t="s">
        <v>359</v>
      </c>
      <c r="AZ5" s="24" t="s">
        <v>360</v>
      </c>
      <c r="BA5" s="24" t="s">
        <v>361</v>
      </c>
      <c r="BB5" s="24" t="s">
        <v>362</v>
      </c>
      <c r="BC5" s="24" t="s">
        <v>363</v>
      </c>
      <c r="BD5" s="24" t="s">
        <v>364</v>
      </c>
      <c r="BE5" s="24" t="s">
        <v>365</v>
      </c>
      <c r="BF5" s="24" t="s">
        <v>366</v>
      </c>
      <c r="BG5" s="24" t="s">
        <v>367</v>
      </c>
      <c r="BH5" s="91" t="str">
        <f>+CONCATENATE(certi[[#This Row],[rectifi_1]]," ; ",certi[[#This Row],[rectifi_2]]," ; ",certi[[#This Row],[rectifi_3]]," ; ",certi[[#This Row],[rectifi_4]]," ; ",certi[[#This Row],[rectifi_5]]," ; ",certi[[#This Row],[rectifi_6]])</f>
        <v>Poten. ="1985@48 pm ; For. Rod ="4x2 " ; Ruedas ="4 " ; Nº Ejes ="2 " ; Asientos ="5 " ; Pasaj. ="4 "</v>
      </c>
      <c r="BI5" s="91" t="str">
        <f>+CONCATENATE(certi[[#This Row],[rectifi_7]]," ; ",certi[[#This Row],[rectifi_8]]," ; ",certi[[#This Row],[rectifi_9]]," ; ",certi[[#This Row],[rectifi_10]]," ; ",certi[[#This Row],[rectifi_11]]," ; ",certi[[#This Row],[rectifi_12]])</f>
        <v>Peso N. ="2050 kg " ; Peso B. ="2580 kg. " ; Carga U. ="530 kg." ; Longit. ="4.58  mts" ; Altura =" 1.69 mts" ; Ancho ="1.70 mts "</v>
      </c>
      <c r="BJ5" s="91"/>
      <c r="BW5" s="91" t="str">
        <f>+CONCATENATE(certi[[#This Row],[Incorpo_1]]," ; ",certi[[#This Row],[Incorpo_2]]," ; ",certi[[#This Row],[Incorpo_3]]," ; ",certi[[#This Row],[Incorpo_4]]," ; ",certi[[#This Row],[Incorpo_5]]," ; ",certi[[#This Row],[Incorpo_6]])</f>
        <v xml:space="preserve"> ;  ;  ;  ;  ; </v>
      </c>
      <c r="BX5" s="91" t="str">
        <f>+CONCATENATE(certi[[#This Row],[Incorpo_7]]," ; ",certi[[#This Row],[Incorpo_8]]," ; ",certi[[#This Row],[Incorpo_9]]," ; ",certi[[#This Row],[Incorpo_10]]," ; ",certi[[#This Row],[Incorpo_11]]," ; ",certi[[#This Row],[Incorpo_12]]," ; ",)</f>
        <v xml:space="preserve"> ;  ;  ;  ;  ;  ; </v>
      </c>
      <c r="BY5" s="90"/>
      <c r="CD5" s="91" t="str">
        <f>+CONCATENATE(certi[[#This Row],[adecua_1]]," ; ",certi[[#This Row],[adecua_2]]," ; ",certi[[#This Row],[adecua_3]]," ; ",certi[[#This Row],[adecua_4]])</f>
        <v xml:space="preserve"> ;  ;  ; </v>
      </c>
      <c r="CE5" s="24" t="s">
        <v>61</v>
      </c>
      <c r="CF5" s="92">
        <f ca="1">IF(CF5=0,IF(B5="",0,NOW()),CF5)</f>
        <v>44725.739483333331</v>
      </c>
    </row>
    <row r="6" spans="2:84" ht="19.5" customHeight="1" x14ac:dyDescent="0.25">
      <c r="B6" s="83">
        <v>1</v>
      </c>
      <c r="C6" s="83">
        <v>1</v>
      </c>
      <c r="D6" s="86">
        <v>3</v>
      </c>
      <c r="E6" s="87">
        <v>4</v>
      </c>
      <c r="F6" s="87">
        <v>5</v>
      </c>
      <c r="G6" s="87">
        <v>6</v>
      </c>
      <c r="H6" s="87">
        <v>7</v>
      </c>
      <c r="I6" s="87">
        <v>8</v>
      </c>
      <c r="J6" s="88">
        <v>9</v>
      </c>
      <c r="K6" s="87">
        <v>10</v>
      </c>
      <c r="L6" s="87">
        <v>11</v>
      </c>
      <c r="M6" s="87">
        <v>12</v>
      </c>
      <c r="N6" s="87">
        <v>13</v>
      </c>
      <c r="O6" s="87">
        <v>14</v>
      </c>
      <c r="P6" s="87">
        <v>15</v>
      </c>
      <c r="Q6" s="87">
        <v>16</v>
      </c>
      <c r="R6" s="87">
        <v>17</v>
      </c>
      <c r="S6" s="87">
        <v>18</v>
      </c>
      <c r="T6" s="87">
        <v>19</v>
      </c>
      <c r="U6" s="87">
        <v>20</v>
      </c>
      <c r="V6" s="87">
        <v>21</v>
      </c>
      <c r="W6" s="87">
        <v>22</v>
      </c>
      <c r="X6" s="87">
        <v>23</v>
      </c>
      <c r="Y6" s="87">
        <v>24</v>
      </c>
      <c r="Z6" s="87">
        <v>25</v>
      </c>
      <c r="AA6" s="87">
        <v>26</v>
      </c>
      <c r="AB6" s="87">
        <v>27</v>
      </c>
      <c r="AC6" s="87">
        <v>28</v>
      </c>
      <c r="AD6" s="89">
        <v>29</v>
      </c>
      <c r="AE6" s="89">
        <v>30</v>
      </c>
      <c r="AF6" s="90">
        <v>31</v>
      </c>
      <c r="AG6" s="24">
        <v>32</v>
      </c>
      <c r="AH6" s="24">
        <v>33</v>
      </c>
      <c r="AI6" s="24">
        <v>34</v>
      </c>
      <c r="AJ6" s="24">
        <v>35</v>
      </c>
      <c r="AK6" s="24">
        <v>36</v>
      </c>
      <c r="AL6" s="24">
        <v>37</v>
      </c>
      <c r="AM6" s="24">
        <v>38</v>
      </c>
      <c r="AN6" s="24">
        <v>39</v>
      </c>
      <c r="AO6" s="24">
        <v>40</v>
      </c>
      <c r="AP6" s="24">
        <v>41</v>
      </c>
      <c r="AQ6" s="24">
        <v>42</v>
      </c>
      <c r="AR6" s="24">
        <v>43</v>
      </c>
      <c r="AS6" s="91" t="str">
        <f>+CONCATENATE(certi[[#This Row],[modifi_1]], " ; ",certi[[#This Row],[modifi_2]]," ; ", certi[[#This Row],[modifi_3]], " ; ",certi[[#This Row],[modifi_4]], " ;  ",certi[[#This Row],[modifi_5]]," ; ",certi[[#This Row],[modifi_6]])</f>
        <v>32 ; 33 ; 34 ; 35 ;  36 ; 37</v>
      </c>
      <c r="AT6" s="91" t="str">
        <f>+CONCATENATE(certi[[#This Row],[modifi_7]]," ; ",certi[[#This Row],[modifi_8]]," ; ",certi[[#This Row],[modifi_9]]," ; ",certi[[#This Row],[modifi_10]]," ; ",certi[[#This Row],[modifi_11]]," ; ",certi[[#This Row],[modifi_12]])</f>
        <v>38 ; 39 ; 40 ; 41 ; 42 ; 43</v>
      </c>
      <c r="AU6" s="90">
        <v>46</v>
      </c>
      <c r="AV6" s="24">
        <v>47</v>
      </c>
      <c r="AW6" s="24">
        <v>48</v>
      </c>
      <c r="AX6" s="24">
        <v>49</v>
      </c>
      <c r="AY6" s="24">
        <v>50</v>
      </c>
      <c r="AZ6" s="24">
        <v>51</v>
      </c>
      <c r="BA6" s="24">
        <v>52</v>
      </c>
      <c r="BB6" s="24">
        <v>53</v>
      </c>
      <c r="BC6" s="24">
        <v>54</v>
      </c>
      <c r="BD6" s="24">
        <v>55</v>
      </c>
      <c r="BE6" s="24">
        <v>56</v>
      </c>
      <c r="BF6" s="24">
        <v>57</v>
      </c>
      <c r="BG6" s="24">
        <v>58</v>
      </c>
      <c r="BH6" s="91" t="str">
        <f>+CONCATENATE(certi[[#This Row],[rectifi_1]]," ; ",certi[[#This Row],[rectifi_2]]," ; ",certi[[#This Row],[rectifi_3]]," ; ",certi[[#This Row],[rectifi_4]]," ; ",certi[[#This Row],[rectifi_5]]," ; ",certi[[#This Row],[rectifi_6]])</f>
        <v>47 ; 48 ; 49 ; 50 ; 51 ; 52</v>
      </c>
      <c r="BI6" s="91" t="str">
        <f>+CONCATENATE(certi[[#This Row],[rectifi_7]]," ; ",certi[[#This Row],[rectifi_8]]," ; ",certi[[#This Row],[rectifi_9]]," ; ",certi[[#This Row],[rectifi_10]]," ; ",certi[[#This Row],[rectifi_11]]," ; ",certi[[#This Row],[rectifi_12]])</f>
        <v>53 ; 54 ; 55 ; 56 ; 57 ; 58</v>
      </c>
      <c r="BJ6" s="91">
        <v>61</v>
      </c>
      <c r="BK6" s="24">
        <v>62</v>
      </c>
      <c r="BL6" s="24">
        <v>63</v>
      </c>
      <c r="BM6" s="24">
        <v>64</v>
      </c>
      <c r="BN6" s="24">
        <v>65</v>
      </c>
      <c r="BO6" s="24">
        <v>66</v>
      </c>
      <c r="BP6" s="24">
        <v>67</v>
      </c>
      <c r="BQ6" s="24">
        <v>68</v>
      </c>
      <c r="BR6" s="24">
        <v>69</v>
      </c>
      <c r="BS6" s="24">
        <v>70</v>
      </c>
      <c r="BT6" s="24">
        <v>71</v>
      </c>
      <c r="BU6" s="24">
        <v>72</v>
      </c>
      <c r="BV6" s="24">
        <v>73</v>
      </c>
      <c r="BW6" s="91" t="str">
        <f>+CONCATENATE(certi[[#This Row],[Incorpo_1]]," ; ",certi[[#This Row],[Incorpo_2]]," ; ",certi[[#This Row],[Incorpo_3]]," ; ",certi[[#This Row],[Incorpo_4]]," ; ",certi[[#This Row],[Incorpo_5]]," ; ",certi[[#This Row],[Incorpo_6]])</f>
        <v>62 ; 63 ; 64 ; 65 ; 66 ; 67</v>
      </c>
      <c r="BX6" s="91" t="str">
        <f>+CONCATENATE(certi[[#This Row],[Incorpo_7]]," ; ",certi[[#This Row],[Incorpo_8]]," ; ",certi[[#This Row],[Incorpo_9]]," ; ",certi[[#This Row],[Incorpo_10]]," ; ",certi[[#This Row],[Incorpo_11]]," ; ",certi[[#This Row],[Incorpo_12]]," ; ",)</f>
        <v xml:space="preserve">68 ; 69 ; 70 ; 71 ; 72 ; 73 ; </v>
      </c>
      <c r="BY6" s="90">
        <v>76</v>
      </c>
      <c r="BZ6" s="24">
        <v>77</v>
      </c>
      <c r="CA6" s="24">
        <v>78</v>
      </c>
      <c r="CB6" s="24">
        <v>79</v>
      </c>
      <c r="CC6" s="24">
        <v>80</v>
      </c>
      <c r="CD6" s="91" t="str">
        <f>+CONCATENATE(certi[[#This Row],[adecua_1]]," ; ",certi[[#This Row],[adecua_2]]," ; ",certi[[#This Row],[adecua_3]]," ; ",certi[[#This Row],[adecua_4]])</f>
        <v>77 ; 78 ; 79 ; 80</v>
      </c>
      <c r="CF6" s="92">
        <f ca="1">IF(CF6=0,IF(B6="",0,NOW()),CF6)</f>
        <v>44725.735078472222</v>
      </c>
    </row>
    <row r="7" spans="2:84" ht="19.5" customHeight="1" x14ac:dyDescent="0.25"/>
  </sheetData>
  <sheetProtection insertRows="0"/>
  <pageMargins left="0.25" right="0.25" top="0.75" bottom="0.75" header="0.3" footer="0.3"/>
  <pageSetup paperSize="9" orientation="portrait" r:id="rId1"/>
  <drawing r:id="rId2"/>
  <picture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4:BI52"/>
  <sheetViews>
    <sheetView tabSelected="1" zoomScale="73" zoomScaleNormal="73" workbookViewId="0">
      <selection activeCell="J25" sqref="J25"/>
    </sheetView>
  </sheetViews>
  <sheetFormatPr baseColWidth="10" defaultRowHeight="15" x14ac:dyDescent="0.25"/>
  <cols>
    <col min="1" max="1" width="4.5703125" style="19" customWidth="1"/>
    <col min="2" max="2" width="14.85546875" style="19" customWidth="1"/>
    <col min="3" max="3" width="26.85546875" style="19" customWidth="1"/>
    <col min="4" max="4" width="4.85546875" style="19" customWidth="1"/>
    <col min="5" max="5" width="13.28515625" style="19" customWidth="1"/>
    <col min="6" max="6" width="12.5703125" style="19" customWidth="1"/>
    <col min="7" max="7" width="10.42578125" style="19" customWidth="1"/>
    <col min="8" max="10" width="11.42578125" style="19"/>
    <col min="11" max="11" width="11.85546875" style="19" bestFit="1" customWidth="1"/>
    <col min="12" max="16384" width="11.42578125" style="19"/>
  </cols>
  <sheetData>
    <row r="4" spans="1:61" ht="21" x14ac:dyDescent="0.25">
      <c r="A4" s="95" t="s">
        <v>47</v>
      </c>
      <c r="B4" s="95"/>
      <c r="C4" s="95"/>
      <c r="D4" s="95"/>
      <c r="E4" s="95"/>
      <c r="F4" s="95"/>
      <c r="G4" s="95"/>
    </row>
    <row r="5" spans="1:61" x14ac:dyDescent="0.25">
      <c r="BH5" s="19" t="s">
        <v>74</v>
      </c>
      <c r="BI5" s="19" t="s">
        <v>75</v>
      </c>
    </row>
    <row r="6" spans="1:61" x14ac:dyDescent="0.25">
      <c r="A6" s="19" t="s">
        <v>48</v>
      </c>
      <c r="D6" s="96" t="s">
        <v>64</v>
      </c>
      <c r="E6" s="96"/>
      <c r="F6" s="20"/>
      <c r="G6" s="21">
        <v>2</v>
      </c>
    </row>
    <row r="8" spans="1:61" x14ac:dyDescent="0.25">
      <c r="A8" s="19" t="s">
        <v>49</v>
      </c>
    </row>
    <row r="9" spans="1:61" x14ac:dyDescent="0.25">
      <c r="A9" s="22" t="s">
        <v>50</v>
      </c>
    </row>
    <row r="11" spans="1:61" s="24" customFormat="1" x14ac:dyDescent="0.25"/>
    <row r="12" spans="1:61" s="24" customFormat="1" ht="17.25" customHeight="1" x14ac:dyDescent="0.25">
      <c r="A12" s="25">
        <v>1</v>
      </c>
      <c r="B12" s="26" t="s">
        <v>368</v>
      </c>
      <c r="C12" s="100" t="str">
        <f>+VLOOKUP($G$6,BaseDatos!B3:AE861,3,FALSE)</f>
        <v>mi chana</v>
      </c>
      <c r="D12" s="101"/>
      <c r="E12" s="101"/>
      <c r="F12" s="102"/>
      <c r="G12" s="103"/>
    </row>
    <row r="13" spans="1:61" s="24" customFormat="1" x14ac:dyDescent="0.25">
      <c r="A13" s="25">
        <v>2</v>
      </c>
      <c r="B13" s="25" t="s">
        <v>2</v>
      </c>
      <c r="C13" s="27">
        <f>+VLOOKUP($G$6,BaseDatos!$B$3:$AE$861,4,FALSE)</f>
        <v>12548</v>
      </c>
      <c r="D13" s="25">
        <v>16</v>
      </c>
      <c r="E13" s="28" t="s">
        <v>51</v>
      </c>
      <c r="F13" s="27" t="str">
        <f>+VLOOKUP($G$6,BaseDatos!$B$3:$AE$861,13,FALSE)</f>
        <v>125@45rpm</v>
      </c>
      <c r="G13" s="29"/>
    </row>
    <row r="14" spans="1:61" s="24" customFormat="1" x14ac:dyDescent="0.25">
      <c r="A14" s="25">
        <v>3</v>
      </c>
      <c r="B14" s="25" t="s">
        <v>3</v>
      </c>
      <c r="C14" s="27" t="str">
        <f>+VLOOKUP($G$6,BaseDatos!$B$3:$AE$861,12,FALSE)</f>
        <v>SEDAN</v>
      </c>
      <c r="D14" s="25">
        <v>17</v>
      </c>
      <c r="E14" s="28" t="s">
        <v>52</v>
      </c>
      <c r="F14" s="27" t="str">
        <f>+VLOOKUP($G$6,BaseDatos!$B$3:$AE$861,14,FALSE)</f>
        <v>4x2</v>
      </c>
      <c r="G14" s="29"/>
    </row>
    <row r="15" spans="1:61" s="24" customFormat="1" x14ac:dyDescent="0.25">
      <c r="A15" s="25">
        <v>4</v>
      </c>
      <c r="B15" s="25" t="s">
        <v>4</v>
      </c>
      <c r="C15" s="27" t="str">
        <f>+VLOOKUP($G$6,BaseDatos!$B$3:$AE$861,28,FALSE)</f>
        <v>****</v>
      </c>
      <c r="D15" s="25">
        <v>18</v>
      </c>
      <c r="E15" s="28" t="s">
        <v>31</v>
      </c>
      <c r="F15" s="27">
        <f>+VLOOKUP($G$6,BaseDatos!$B$3:$AE$861,18,FALSE)</f>
        <v>4</v>
      </c>
      <c r="G15" s="29"/>
      <c r="I15" s="30"/>
    </row>
    <row r="16" spans="1:61" s="24" customFormat="1" x14ac:dyDescent="0.25">
      <c r="A16" s="25">
        <v>5</v>
      </c>
      <c r="B16" s="25" t="s">
        <v>5</v>
      </c>
      <c r="C16" s="27" t="str">
        <f>+VLOOKUP($G$6,BaseDatos!$B$3:$AE$861,6,FALSE)</f>
        <v>suzuki</v>
      </c>
      <c r="D16" s="25">
        <v>19</v>
      </c>
      <c r="E16" s="28" t="s">
        <v>53</v>
      </c>
      <c r="F16" s="27">
        <f>+VLOOKUP($G$6,BaseDatos!$B$3:$AE$861,19,FALSE)</f>
        <v>2</v>
      </c>
      <c r="G16" s="29"/>
      <c r="BH16" s="24" t="s">
        <v>72</v>
      </c>
      <c r="BI16" s="24" t="s">
        <v>73</v>
      </c>
    </row>
    <row r="17" spans="1:8" s="24" customFormat="1" x14ac:dyDescent="0.25">
      <c r="A17" s="25">
        <v>6</v>
      </c>
      <c r="B17" s="25" t="s">
        <v>6</v>
      </c>
      <c r="C17" s="31" t="str">
        <f>+VLOOKUP($G$6,BaseDatos!$B$3:$AE$861,7,FALSE)</f>
        <v>Ertiga</v>
      </c>
      <c r="D17" s="25">
        <v>20</v>
      </c>
      <c r="E17" s="28" t="s">
        <v>29</v>
      </c>
      <c r="F17" s="27">
        <f>+VLOOKUP($G$6,BaseDatos!$B$3:$AE$861,16,FALSE)</f>
        <v>5</v>
      </c>
      <c r="G17" s="29"/>
    </row>
    <row r="18" spans="1:8" s="24" customFormat="1" x14ac:dyDescent="0.25">
      <c r="A18" s="25">
        <v>7</v>
      </c>
      <c r="B18" s="25" t="s">
        <v>54</v>
      </c>
      <c r="C18" s="31">
        <f>+VLOOKUP($G$6,BaseDatos!$B$3:$AE$861,29,FALSE)</f>
        <v>2022</v>
      </c>
      <c r="D18" s="25">
        <v>21</v>
      </c>
      <c r="E18" s="28" t="s">
        <v>30</v>
      </c>
      <c r="F18" s="27">
        <f>+VLOOKUP($G$6,BaseDatos!$B$3:$AE$861,17,FALSE)</f>
        <v>4</v>
      </c>
      <c r="G18" s="32"/>
    </row>
    <row r="19" spans="1:8" s="24" customFormat="1" x14ac:dyDescent="0.25">
      <c r="A19" s="25">
        <v>8</v>
      </c>
      <c r="B19" s="25" t="s">
        <v>55</v>
      </c>
      <c r="C19" s="31">
        <f>+VLOOKUP($G$6,BaseDatos!$B$3:$AE$861,30,FALSE)</f>
        <v>2021</v>
      </c>
      <c r="D19" s="25">
        <v>22</v>
      </c>
      <c r="E19" s="28" t="s">
        <v>39</v>
      </c>
      <c r="F19" s="33">
        <f>+VLOOKUP($G$6,BaseDatos!$B$3:$AE$861,26,FALSE)</f>
        <v>1258</v>
      </c>
      <c r="G19" s="27" t="s">
        <v>56</v>
      </c>
    </row>
    <row r="20" spans="1:8" s="24" customFormat="1" x14ac:dyDescent="0.25">
      <c r="A20" s="25">
        <v>9</v>
      </c>
      <c r="B20" s="25" t="s">
        <v>28</v>
      </c>
      <c r="C20" s="31" t="str">
        <f>+VLOOKUP($G$6,BaseDatos!$B$3:$AE$861,15,FALSE)</f>
        <v>DIESEL</v>
      </c>
      <c r="D20" s="25">
        <v>23</v>
      </c>
      <c r="E20" s="28" t="s">
        <v>38</v>
      </c>
      <c r="F20" s="27">
        <f>+VLOOKUP($G$6,BaseDatos!$B$3:$AE$861,25,FALSE)</f>
        <v>1838</v>
      </c>
      <c r="G20" s="34" t="s">
        <v>56</v>
      </c>
    </row>
    <row r="21" spans="1:8" s="24" customFormat="1" x14ac:dyDescent="0.25">
      <c r="A21" s="25">
        <v>10</v>
      </c>
      <c r="B21" s="25" t="s">
        <v>23</v>
      </c>
      <c r="C21" s="35" t="str">
        <f>+VLOOKUP($G$6,BaseDatos!$B$3:$AE$861,9,FALSE)</f>
        <v>125fred58detr7g4t</v>
      </c>
      <c r="D21" s="25">
        <v>24</v>
      </c>
      <c r="E21" s="28" t="s">
        <v>34</v>
      </c>
      <c r="F21" s="27">
        <f>+VLOOKUP($G$6,BaseDatos!$B$3:$AE$861,21,FALSE)</f>
        <v>358</v>
      </c>
      <c r="G21" s="29" t="s">
        <v>57</v>
      </c>
    </row>
    <row r="22" spans="1:8" s="24" customFormat="1" x14ac:dyDescent="0.25">
      <c r="A22" s="25">
        <v>11</v>
      </c>
      <c r="B22" s="25" t="s">
        <v>24</v>
      </c>
      <c r="C22" s="35" t="str">
        <f>+VLOOKUP($G$6,BaseDatos!$B$3:$AE$861,10,FALSE)</f>
        <v>12kiuyhgfdtrfufgj78</v>
      </c>
      <c r="D22" s="25">
        <v>25</v>
      </c>
      <c r="E22" s="28" t="s">
        <v>35</v>
      </c>
      <c r="F22" s="27">
        <f>+VLOOKUP($G$6,BaseDatos!$B$3:$AE$861,22,FALSE)</f>
        <v>158</v>
      </c>
      <c r="G22" s="29" t="s">
        <v>57</v>
      </c>
    </row>
    <row r="23" spans="1:8" s="24" customFormat="1" x14ac:dyDescent="0.25">
      <c r="A23" s="25">
        <v>12</v>
      </c>
      <c r="B23" s="25" t="s">
        <v>58</v>
      </c>
      <c r="C23" s="31" t="str">
        <f>+VLOOKUP($G$6,BaseDatos!$B$3:$AE$861,11,FALSE)</f>
        <v>12458dert</v>
      </c>
      <c r="D23" s="25">
        <v>26</v>
      </c>
      <c r="E23" s="28" t="s">
        <v>36</v>
      </c>
      <c r="F23" s="27">
        <f>+VLOOKUP($G$6,BaseDatos!$B$3:$AE$861,23,FALSE)</f>
        <v>169</v>
      </c>
      <c r="G23" s="29" t="s">
        <v>57</v>
      </c>
    </row>
    <row r="24" spans="1:8" s="24" customFormat="1" x14ac:dyDescent="0.25">
      <c r="A24" s="25">
        <v>13</v>
      </c>
      <c r="B24" s="25" t="s">
        <v>33</v>
      </c>
      <c r="C24" s="31">
        <f>+VLOOKUP($G$6,BaseDatos!$B$3:$AE$861,20,FALSE)</f>
        <v>4</v>
      </c>
      <c r="D24" s="25">
        <v>27</v>
      </c>
      <c r="E24" s="28" t="s">
        <v>40</v>
      </c>
      <c r="F24" s="27">
        <f>+VLOOKUP($G$6,BaseDatos!$B$3:$AE$861,27,FALSE)</f>
        <v>580</v>
      </c>
      <c r="G24" s="29" t="s">
        <v>56</v>
      </c>
    </row>
    <row r="25" spans="1:8" s="24" customFormat="1" x14ac:dyDescent="0.25">
      <c r="A25" s="25">
        <v>14</v>
      </c>
      <c r="B25" s="25" t="s">
        <v>37</v>
      </c>
      <c r="C25" s="31">
        <f>+VLOOKUP($G$6,BaseDatos!$B$3:$AE$861,24,FALSE)</f>
        <v>1258</v>
      </c>
      <c r="D25" s="25">
        <v>28</v>
      </c>
      <c r="E25" s="28" t="s">
        <v>21</v>
      </c>
      <c r="F25" s="27" t="str">
        <f>+VLOOKUP($G$6,BaseDatos!$B$3:$AE$861,5,FALSE)</f>
        <v>M1</v>
      </c>
      <c r="G25" s="29"/>
    </row>
    <row r="26" spans="1:8" s="24" customFormat="1" x14ac:dyDescent="0.25">
      <c r="A26" s="25">
        <v>15</v>
      </c>
      <c r="B26" s="25" t="s">
        <v>59</v>
      </c>
      <c r="C26" s="100" t="str">
        <f>+VLOOKUP($G$6,BaseDatos!$B$3:$AE$861,8,FALSE)</f>
        <v>gris</v>
      </c>
      <c r="D26" s="101"/>
      <c r="E26" s="101"/>
      <c r="F26" s="101"/>
      <c r="G26" s="104"/>
    </row>
    <row r="27" spans="1:8" s="24" customFormat="1" x14ac:dyDescent="0.25">
      <c r="A27" s="36" t="s">
        <v>60</v>
      </c>
    </row>
    <row r="28" spans="1:8" s="24" customFormat="1" ht="12.75" customHeight="1" x14ac:dyDescent="0.25">
      <c r="A28" s="36"/>
      <c r="B28" s="111" t="str">
        <f>+VLOOKUP($G$6,BaseDatos!$B$3:$CD$861,31,FALSE)</f>
        <v>Modificación</v>
      </c>
      <c r="C28" s="108" t="str">
        <f>+VLOOKUP($G$6,BaseDatos!$B$3:$CD$861,44,FALSE)</f>
        <v>Carroceria ="baranda " ; Clase ="n1 " ; Marca ="toyota " ; Modelo =" ertiga" ;  Año fab. =" 1988" ; Año mod. ="2015 "</v>
      </c>
      <c r="D28" s="108"/>
      <c r="E28" s="108"/>
      <c r="F28" s="108"/>
      <c r="G28" s="108"/>
      <c r="H28" s="109"/>
    </row>
    <row r="29" spans="1:8" s="24" customFormat="1" ht="15" customHeight="1" x14ac:dyDescent="0.25">
      <c r="A29" s="37"/>
      <c r="C29" s="108"/>
      <c r="D29" s="108"/>
      <c r="E29" s="108"/>
      <c r="F29" s="108"/>
      <c r="G29" s="108"/>
      <c r="H29" s="109"/>
    </row>
    <row r="30" spans="1:8" s="24" customFormat="1" ht="27.75" customHeight="1" x14ac:dyDescent="0.25">
      <c r="A30" s="110" t="str">
        <f>+VLOOKUP($G$6,BaseDatos!$B$3:$CD$861,45,FALSE)</f>
        <v>Combus. ="gasolina " ; VIN =" 154875frtgyhu2j4" ; SERIE =" 154875frtgyhu2j4" ; Nº Motor =" fgtrde5874" ; Cilindra. =" 1985" ; Colores ="blanco/rojo/azul "</v>
      </c>
      <c r="B30" s="110"/>
      <c r="C30" s="110"/>
      <c r="D30" s="110"/>
      <c r="E30" s="110"/>
      <c r="F30" s="110"/>
      <c r="G30" s="110"/>
    </row>
    <row r="31" spans="1:8" s="24" customFormat="1" ht="27.75" customHeight="1" x14ac:dyDescent="0.25">
      <c r="A31" s="107"/>
      <c r="B31" s="111" t="str">
        <f>+VLOOKUP($G$6,BaseDatos!$B$3:$CD$861,46,FALSE)</f>
        <v>Rectificación</v>
      </c>
      <c r="C31" s="110" t="str">
        <f>+VLOOKUP($G$6,BaseDatos!$B$3:$CD$861,59,FALSE)</f>
        <v>Poten. ="1985@48 pm ; For. Rod ="4x2 " ; Ruedas ="4 " ; Nº Ejes ="2 " ; Asientos ="5 " ; Pasaj. ="4 "</v>
      </c>
      <c r="D31" s="110"/>
      <c r="E31" s="110"/>
      <c r="F31" s="110"/>
      <c r="G31" s="110"/>
    </row>
    <row r="32" spans="1:8" s="24" customFormat="1" ht="26.25" customHeight="1" x14ac:dyDescent="0.25">
      <c r="A32" s="110" t="str">
        <f>+VLOOKUP($G$6,BaseDatos!$B$3:$CD$861,60,FALSE)</f>
        <v>Peso N. ="2050 kg " ; Peso B. ="2580 kg. " ; Carga U. ="530 kg." ; Longit. ="4.58  mts" ; Altura =" 1.69 mts" ; Ancho ="1.70 mts "</v>
      </c>
      <c r="B32" s="110"/>
      <c r="C32" s="110"/>
      <c r="D32" s="110"/>
      <c r="E32" s="110"/>
      <c r="F32" s="110"/>
      <c r="G32" s="110"/>
    </row>
    <row r="33" spans="1:7" s="24" customFormat="1" x14ac:dyDescent="0.25">
      <c r="B33" s="111">
        <f>+VLOOKUP($G$6,BaseDatos!$B$3:$CD$861,61,FALSE)</f>
        <v>0</v>
      </c>
      <c r="C33" s="97" t="str">
        <f>+VLOOKUP($G$6,BaseDatos!$B$3:$CD$861,74,FALSE)</f>
        <v xml:space="preserve"> ;  ;  ;  ;  ; </v>
      </c>
      <c r="D33" s="97"/>
      <c r="E33" s="97"/>
      <c r="F33" s="97"/>
      <c r="G33" s="97"/>
    </row>
    <row r="34" spans="1:7" s="24" customFormat="1" x14ac:dyDescent="0.25">
      <c r="A34" s="97" t="str">
        <f>+VLOOKUP($G$6,BaseDatos!$B$3:$CD$861,75,FALSE)</f>
        <v xml:space="preserve"> ;  ;  ;  ;  ;  ; </v>
      </c>
      <c r="B34" s="97"/>
      <c r="C34" s="97"/>
      <c r="D34" s="97"/>
      <c r="E34" s="97"/>
    </row>
    <row r="35" spans="1:7" s="24" customFormat="1" x14ac:dyDescent="0.25">
      <c r="B35" s="111">
        <f>+VLOOKUP($G$6,BaseDatos!$B$3:$CD$861,76,FALSE)</f>
        <v>0</v>
      </c>
      <c r="C35" s="97" t="str">
        <f>+VLOOKUP($G$6,BaseDatos!$B$3:$CD$861,81,FALSE)</f>
        <v xml:space="preserve"> ;  ;  ; </v>
      </c>
      <c r="D35" s="97"/>
      <c r="E35" s="97"/>
      <c r="F35" s="97"/>
      <c r="G35" s="97"/>
    </row>
    <row r="36" spans="1:7" s="24" customFormat="1" x14ac:dyDescent="0.25">
      <c r="B36" s="106" t="str">
        <f>+VLOOKUP($G$6,BaseDatos!$B$3:$CF$861,82,FALSE)</f>
        <v>Nota: 1 RESPETA LOS PARAMETROS Y SE CUMPLE CON LA NORMA VIGENTE.</v>
      </c>
    </row>
    <row r="37" spans="1:7" s="24" customFormat="1" ht="15" customHeight="1" x14ac:dyDescent="0.25">
      <c r="A37" s="99" t="s">
        <v>71</v>
      </c>
      <c r="B37" s="99"/>
      <c r="C37" s="99"/>
      <c r="D37" s="99"/>
      <c r="E37" s="99"/>
      <c r="F37" s="38">
        <f>+VLOOKUP($G$6,BaseDatos!$B$3:$AE$861,2,FALSE)</f>
        <v>2</v>
      </c>
      <c r="G37" s="24" t="s">
        <v>65</v>
      </c>
    </row>
    <row r="38" spans="1:7" s="24" customFormat="1" ht="15" customHeight="1" x14ac:dyDescent="0.25">
      <c r="A38" s="98" t="s">
        <v>66</v>
      </c>
      <c r="B38" s="98"/>
      <c r="C38" s="98"/>
      <c r="D38" s="98"/>
      <c r="E38" s="98"/>
      <c r="F38" s="98"/>
      <c r="G38" s="98"/>
    </row>
    <row r="39" spans="1:7" s="24" customFormat="1" x14ac:dyDescent="0.25">
      <c r="A39" s="98"/>
      <c r="B39" s="98"/>
      <c r="C39" s="98"/>
      <c r="D39" s="98"/>
      <c r="E39" s="98"/>
      <c r="F39" s="98"/>
      <c r="G39" s="98"/>
    </row>
    <row r="40" spans="1:7" s="24" customFormat="1" x14ac:dyDescent="0.25">
      <c r="A40" s="98"/>
      <c r="B40" s="98"/>
      <c r="C40" s="98"/>
      <c r="D40" s="98"/>
      <c r="E40" s="98"/>
      <c r="F40" s="98"/>
      <c r="G40" s="98"/>
    </row>
    <row r="41" spans="1:7" s="24" customFormat="1" x14ac:dyDescent="0.25">
      <c r="A41" s="98"/>
      <c r="B41" s="98"/>
      <c r="C41" s="98"/>
      <c r="D41" s="98"/>
      <c r="E41" s="98"/>
      <c r="F41" s="98"/>
      <c r="G41" s="98"/>
    </row>
    <row r="42" spans="1:7" s="24" customFormat="1" x14ac:dyDescent="0.25">
      <c r="A42" s="39" t="s">
        <v>67</v>
      </c>
      <c r="B42" s="40"/>
      <c r="C42" s="40"/>
      <c r="D42" s="40"/>
      <c r="E42" s="40"/>
      <c r="F42" s="41"/>
    </row>
    <row r="43" spans="1:7" s="24" customFormat="1" ht="15.75" customHeight="1" x14ac:dyDescent="0.25">
      <c r="A43" s="39" t="s">
        <v>62</v>
      </c>
      <c r="B43" s="40"/>
      <c r="D43" s="94" t="str">
        <f>IF(OR(F25="M1",F25="M2",F25="M3"),"PERSONAS","MERCANCIAS")</f>
        <v>PERSONAS</v>
      </c>
      <c r="E43" s="94"/>
      <c r="F43" s="40"/>
    </row>
    <row r="44" spans="1:7" s="24" customFormat="1" x14ac:dyDescent="0.25">
      <c r="A44" s="41"/>
      <c r="B44" s="40"/>
      <c r="C44" s="40"/>
      <c r="D44" s="40"/>
      <c r="E44" s="40"/>
      <c r="F44" s="40"/>
    </row>
    <row r="45" spans="1:7" s="24" customFormat="1" x14ac:dyDescent="0.25"/>
    <row r="46" spans="1:7" s="24" customFormat="1" x14ac:dyDescent="0.25">
      <c r="B46" s="42" t="s">
        <v>63</v>
      </c>
      <c r="F46" s="93">
        <f ca="1">+VLOOKUP($G$6,BaseDatos!$B$3:$CF$861,83,FALSE)</f>
        <v>44725.739483333331</v>
      </c>
      <c r="G46" s="93"/>
    </row>
    <row r="52" spans="3:3" ht="31.5" customHeight="1" x14ac:dyDescent="0.25">
      <c r="C52" s="58" t="str">
        <f>+VLOOKUP($G$6,BaseDatos!$B$3:$CD$861,44,FALSE)</f>
        <v>Carroceria ="baranda " ; Clase ="n1 " ; Marca ="toyota " ; Modelo =" ertiga" ;  Año fab. =" 1988" ; Año mod. ="2015 "</v>
      </c>
    </row>
  </sheetData>
  <mergeCells count="15">
    <mergeCell ref="C28:G29"/>
    <mergeCell ref="A30:G30"/>
    <mergeCell ref="C31:G31"/>
    <mergeCell ref="A32:G32"/>
    <mergeCell ref="F46:G46"/>
    <mergeCell ref="D43:E43"/>
    <mergeCell ref="A4:G4"/>
    <mergeCell ref="D6:E6"/>
    <mergeCell ref="A38:G41"/>
    <mergeCell ref="A37:E37"/>
    <mergeCell ref="C12:G12"/>
    <mergeCell ref="C26:G26"/>
    <mergeCell ref="C33:G33"/>
    <mergeCell ref="A34:E34"/>
    <mergeCell ref="C35:G3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_Pdf_Modificacion.B_PDF_Modificacion">
                <anchor moveWithCells="1" sizeWithCells="1">
                  <from>
                    <xdr:col>2</xdr:col>
                    <xdr:colOff>752475</xdr:colOff>
                    <xdr:row>0</xdr:row>
                    <xdr:rowOff>133350</xdr:rowOff>
                  </from>
                  <to>
                    <xdr:col>5</xdr:col>
                    <xdr:colOff>400050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2:Q36"/>
  <sheetViews>
    <sheetView workbookViewId="0">
      <selection activeCell="G3" sqref="G3"/>
    </sheetView>
  </sheetViews>
  <sheetFormatPr baseColWidth="10" defaultRowHeight="15" x14ac:dyDescent="0.25"/>
  <cols>
    <col min="1" max="1" width="6.85546875" style="19" customWidth="1"/>
    <col min="2" max="2" width="18.28515625" style="19" customWidth="1"/>
    <col min="3" max="3" width="19.28515625" style="19" customWidth="1"/>
    <col min="4" max="4" width="9" style="19" customWidth="1"/>
    <col min="5" max="5" width="12.85546875" style="19" customWidth="1"/>
    <col min="6" max="6" width="8.42578125" style="19" customWidth="1"/>
    <col min="7" max="7" width="8.7109375" style="19" customWidth="1"/>
    <col min="8" max="16384" width="11.42578125" style="19"/>
  </cols>
  <sheetData>
    <row r="2" spans="1:17" x14ac:dyDescent="0.25">
      <c r="A2" s="43"/>
    </row>
    <row r="3" spans="1:17" ht="21" x14ac:dyDescent="0.25">
      <c r="A3" s="95" t="s">
        <v>316</v>
      </c>
      <c r="B3" s="95"/>
      <c r="C3" s="95"/>
      <c r="D3" s="95"/>
      <c r="E3" s="95"/>
      <c r="F3" s="95"/>
    </row>
    <row r="4" spans="1:17" x14ac:dyDescent="0.25">
      <c r="A4" s="43"/>
    </row>
    <row r="5" spans="1:17" x14ac:dyDescent="0.25">
      <c r="A5" s="19" t="s">
        <v>48</v>
      </c>
      <c r="D5" s="96" t="s">
        <v>64</v>
      </c>
      <c r="E5" s="96"/>
      <c r="F5" s="23">
        <v>2</v>
      </c>
    </row>
    <row r="6" spans="1:17" s="24" customFormat="1" ht="15.75" customHeight="1" x14ac:dyDescent="0.25">
      <c r="A6" s="47"/>
      <c r="I6" s="48"/>
      <c r="J6" s="49"/>
      <c r="K6" s="49"/>
      <c r="L6" s="49"/>
      <c r="M6" s="49"/>
      <c r="N6" s="49"/>
      <c r="O6" s="49"/>
      <c r="P6" s="49"/>
      <c r="Q6" s="49"/>
    </row>
    <row r="7" spans="1:17" s="24" customFormat="1" x14ac:dyDescent="0.25">
      <c r="A7" s="50" t="s">
        <v>49</v>
      </c>
      <c r="I7" s="49"/>
      <c r="J7" s="49"/>
      <c r="K7" s="49"/>
      <c r="L7" s="49"/>
      <c r="M7" s="49"/>
      <c r="N7" s="49"/>
      <c r="O7" s="49"/>
      <c r="P7" s="49"/>
      <c r="Q7" s="49"/>
    </row>
    <row r="8" spans="1:17" s="24" customFormat="1" x14ac:dyDescent="0.25">
      <c r="A8" s="51" t="s">
        <v>309</v>
      </c>
      <c r="D8" s="52"/>
      <c r="F8" s="52"/>
      <c r="I8" s="53"/>
      <c r="J8" s="53"/>
      <c r="K8" s="53"/>
      <c r="L8" s="53"/>
      <c r="M8" s="49"/>
      <c r="N8" s="49"/>
      <c r="O8" s="49"/>
      <c r="P8" s="49"/>
      <c r="Q8" s="49"/>
    </row>
    <row r="9" spans="1:17" s="24" customFormat="1" x14ac:dyDescent="0.25">
      <c r="A9" s="54"/>
      <c r="I9" s="49"/>
      <c r="J9" s="49"/>
      <c r="K9" s="49"/>
      <c r="L9" s="49"/>
      <c r="M9" s="49"/>
      <c r="N9" s="49"/>
      <c r="O9" s="49"/>
      <c r="P9" s="49"/>
      <c r="Q9" s="49"/>
    </row>
    <row r="10" spans="1:17" s="24" customFormat="1" ht="30" x14ac:dyDescent="0.25">
      <c r="A10" s="55">
        <v>1</v>
      </c>
      <c r="B10" s="56" t="s">
        <v>298</v>
      </c>
      <c r="C10" s="100" t="str">
        <f>+VLOOKUP($F$5,BaseDatos!B1:AE859,3,FALSE)</f>
        <v>mi chana</v>
      </c>
      <c r="D10" s="101"/>
      <c r="E10" s="101"/>
      <c r="F10" s="104"/>
      <c r="G10" s="29"/>
      <c r="I10" s="49"/>
      <c r="J10" s="49"/>
      <c r="K10" s="49"/>
      <c r="L10" s="49"/>
      <c r="M10" s="49"/>
      <c r="N10" s="49"/>
      <c r="O10" s="49"/>
      <c r="P10" s="49"/>
      <c r="Q10" s="49"/>
    </row>
    <row r="11" spans="1:17" s="24" customFormat="1" x14ac:dyDescent="0.25">
      <c r="A11" s="55">
        <v>2</v>
      </c>
      <c r="B11" s="25" t="s">
        <v>319</v>
      </c>
      <c r="C11" s="27" t="str">
        <f>+VLOOKUP($F$5,BaseDatos!$B$3:$AE$861,12,FALSE)</f>
        <v>SEDAN</v>
      </c>
      <c r="D11" s="55">
        <v>11</v>
      </c>
      <c r="E11" s="25" t="s">
        <v>32</v>
      </c>
      <c r="F11" s="27">
        <f>+VLOOKUP($F$5,BaseDatos!$B$3:$AE$861,19,FALSE)</f>
        <v>2</v>
      </c>
      <c r="G11" s="29"/>
      <c r="I11" s="49"/>
      <c r="J11" s="49"/>
      <c r="K11" s="57"/>
      <c r="L11" s="58"/>
      <c r="M11" s="105"/>
      <c r="N11" s="105"/>
      <c r="O11" s="105"/>
      <c r="P11" s="105"/>
      <c r="Q11" s="105"/>
    </row>
    <row r="12" spans="1:17" s="24" customFormat="1" x14ac:dyDescent="0.25">
      <c r="A12" s="55">
        <v>3</v>
      </c>
      <c r="B12" s="25" t="s">
        <v>301</v>
      </c>
      <c r="C12" s="27" t="str">
        <f>+VLOOKUP($F$5,BaseDatos!$B$3:$AE$861,5,FALSE)</f>
        <v>M1</v>
      </c>
      <c r="D12" s="55">
        <v>12</v>
      </c>
      <c r="E12" s="25" t="s">
        <v>31</v>
      </c>
      <c r="F12" s="27">
        <f>+VLOOKUP($F$5,BaseDatos!$B$3:$AE$861,18,FALSE)</f>
        <v>4</v>
      </c>
      <c r="G12" s="29"/>
      <c r="I12" s="49"/>
      <c r="J12" s="49"/>
      <c r="K12" s="57"/>
      <c r="L12" s="57"/>
      <c r="M12" s="59"/>
      <c r="N12" s="57"/>
      <c r="O12" s="57"/>
      <c r="P12" s="59"/>
      <c r="Q12" s="59"/>
    </row>
    <row r="13" spans="1:17" s="24" customFormat="1" x14ac:dyDescent="0.25">
      <c r="A13" s="55">
        <v>4</v>
      </c>
      <c r="B13" s="25" t="s">
        <v>303</v>
      </c>
      <c r="C13" s="27" t="str">
        <f>+VLOOKUP($F$5,BaseDatos!$B$3:$AE$861,6,FALSE)</f>
        <v>suzuki</v>
      </c>
      <c r="D13" s="55">
        <v>13</v>
      </c>
      <c r="E13" s="25" t="s">
        <v>39</v>
      </c>
      <c r="F13" s="27">
        <f>+VLOOKUP($F$5,BaseDatos!$B$3:$AE$861,26,FALSE)</f>
        <v>1258</v>
      </c>
      <c r="G13" s="29" t="s">
        <v>56</v>
      </c>
      <c r="I13" s="49"/>
      <c r="J13" s="49"/>
      <c r="K13" s="57"/>
      <c r="L13" s="57"/>
      <c r="M13" s="49"/>
      <c r="N13" s="57"/>
      <c r="O13" s="57"/>
      <c r="P13" s="59"/>
      <c r="Q13" s="59"/>
    </row>
    <row r="14" spans="1:17" s="24" customFormat="1" x14ac:dyDescent="0.25">
      <c r="A14" s="55">
        <v>5</v>
      </c>
      <c r="B14" s="25" t="s">
        <v>310</v>
      </c>
      <c r="C14" s="27" t="str">
        <f>+VLOOKUP($F$5,BaseDatos!$B$3:$AE$861,7,FALSE)</f>
        <v>Ertiga</v>
      </c>
      <c r="D14" s="55">
        <v>14</v>
      </c>
      <c r="E14" s="25" t="s">
        <v>307</v>
      </c>
      <c r="F14" s="27">
        <f>+VLOOKUP($F$5,BaseDatos!$B$3:$AE$861,25,FALSE)</f>
        <v>1838</v>
      </c>
      <c r="G14" s="29" t="s">
        <v>56</v>
      </c>
      <c r="I14" s="49"/>
      <c r="J14" s="49"/>
      <c r="K14" s="57"/>
      <c r="L14" s="57"/>
      <c r="M14" s="59"/>
      <c r="N14" s="57"/>
      <c r="O14" s="57"/>
      <c r="P14" s="49"/>
      <c r="Q14" s="59"/>
    </row>
    <row r="15" spans="1:17" s="24" customFormat="1" ht="17.25" customHeight="1" x14ac:dyDescent="0.25">
      <c r="A15" s="55">
        <v>6</v>
      </c>
      <c r="B15" s="25" t="s">
        <v>311</v>
      </c>
      <c r="C15" s="27">
        <f>+VLOOKUP($F$5,BaseDatos!$B$3:$AE$861,30,FALSE)</f>
        <v>2021</v>
      </c>
      <c r="D15" s="55">
        <v>15</v>
      </c>
      <c r="E15" s="25" t="s">
        <v>308</v>
      </c>
      <c r="F15" s="27">
        <f>+VLOOKUP($F$5,BaseDatos!$B$3:$AE$861,27,FALSE)</f>
        <v>580</v>
      </c>
      <c r="G15" s="29" t="s">
        <v>57</v>
      </c>
      <c r="I15" s="49"/>
      <c r="J15" s="49"/>
      <c r="K15" s="57"/>
      <c r="L15" s="57"/>
      <c r="M15" s="49"/>
      <c r="N15" s="57"/>
      <c r="O15" s="57"/>
      <c r="P15" s="49"/>
      <c r="Q15" s="59"/>
    </row>
    <row r="16" spans="1:17" s="24" customFormat="1" x14ac:dyDescent="0.25">
      <c r="A16" s="55">
        <v>7</v>
      </c>
      <c r="B16" s="25" t="s">
        <v>54</v>
      </c>
      <c r="C16" s="27">
        <f>+VLOOKUP($F$5,BaseDatos!$B$3:$AE$861,29,FALSE)</f>
        <v>2022</v>
      </c>
      <c r="D16" s="55">
        <v>16</v>
      </c>
      <c r="E16" s="25" t="s">
        <v>312</v>
      </c>
      <c r="F16" s="27">
        <f>+VLOOKUP($F$5,BaseDatos!$B$3:$AE$861,21,FALSE)</f>
        <v>358</v>
      </c>
      <c r="G16" s="29" t="s">
        <v>57</v>
      </c>
      <c r="I16" s="49"/>
      <c r="J16" s="49"/>
      <c r="K16" s="57"/>
      <c r="L16" s="57"/>
      <c r="M16" s="49"/>
      <c r="N16" s="57"/>
      <c r="O16" s="57"/>
      <c r="P16" s="59"/>
      <c r="Q16" s="59"/>
    </row>
    <row r="17" spans="1:17" s="24" customFormat="1" x14ac:dyDescent="0.25">
      <c r="A17" s="55">
        <v>8</v>
      </c>
      <c r="B17" s="25" t="s">
        <v>23</v>
      </c>
      <c r="C17" s="35" t="str">
        <f>+VLOOKUP($F$5,BaseDatos!$B$3:$AE$861,9,FALSE)</f>
        <v>125fred58detr7g4t</v>
      </c>
      <c r="D17" s="55">
        <v>17</v>
      </c>
      <c r="E17" s="25" t="s">
        <v>35</v>
      </c>
      <c r="F17" s="27">
        <f>+VLOOKUP($F$5,BaseDatos!$B$3:$AE$861,22,FALSE)</f>
        <v>158</v>
      </c>
      <c r="G17" s="29" t="s">
        <v>57</v>
      </c>
      <c r="I17" s="49"/>
      <c r="J17" s="49"/>
      <c r="K17" s="57"/>
      <c r="L17" s="57"/>
      <c r="M17" s="49"/>
      <c r="N17" s="57"/>
      <c r="O17" s="57"/>
      <c r="P17" s="59"/>
      <c r="Q17" s="59"/>
    </row>
    <row r="18" spans="1:17" s="24" customFormat="1" x14ac:dyDescent="0.25">
      <c r="A18" s="55">
        <v>9</v>
      </c>
      <c r="B18" s="25" t="s">
        <v>24</v>
      </c>
      <c r="C18" s="35" t="str">
        <f>+VLOOKUP($F$5,BaseDatos!$B$3:$AE$861,10,FALSE)</f>
        <v>12kiuyhgfdtrfufgj78</v>
      </c>
      <c r="D18" s="55">
        <v>18</v>
      </c>
      <c r="E18" s="25" t="s">
        <v>36</v>
      </c>
      <c r="F18" s="27">
        <f>+VLOOKUP($F$5,BaseDatos!$B$3:$AE$861,23,FALSE)</f>
        <v>169</v>
      </c>
      <c r="G18" s="29" t="s">
        <v>56</v>
      </c>
      <c r="I18" s="49"/>
      <c r="J18" s="49"/>
      <c r="K18" s="57"/>
      <c r="L18" s="57"/>
      <c r="M18" s="49"/>
      <c r="N18" s="57"/>
      <c r="O18" s="57"/>
      <c r="P18" s="49"/>
      <c r="Q18" s="59"/>
    </row>
    <row r="19" spans="1:17" s="24" customFormat="1" x14ac:dyDescent="0.25">
      <c r="A19" s="25">
        <v>10</v>
      </c>
      <c r="B19" s="25" t="s">
        <v>59</v>
      </c>
      <c r="C19" s="60" t="str">
        <f>+VLOOKUP($F$5,BaseDatos!$B$3:$AE$861,8,FALSE)</f>
        <v>gris</v>
      </c>
      <c r="D19" s="25"/>
      <c r="E19" s="25"/>
      <c r="F19" s="27"/>
      <c r="G19" s="29"/>
      <c r="I19" s="49"/>
      <c r="J19" s="49"/>
      <c r="K19" s="57"/>
      <c r="L19" s="57"/>
      <c r="M19" s="59"/>
      <c r="N19" s="57"/>
      <c r="O19" s="57"/>
      <c r="P19" s="49"/>
      <c r="Q19" s="59"/>
    </row>
    <row r="20" spans="1:17" s="24" customFormat="1" x14ac:dyDescent="0.25">
      <c r="I20" s="49"/>
      <c r="J20" s="49"/>
      <c r="K20" s="57"/>
      <c r="L20" s="57"/>
      <c r="M20" s="49"/>
      <c r="N20" s="57"/>
      <c r="O20" s="57"/>
      <c r="P20" s="49"/>
      <c r="Q20" s="59"/>
    </row>
    <row r="21" spans="1:17" s="24" customFormat="1" x14ac:dyDescent="0.25">
      <c r="A21" s="59" t="str">
        <f>+VLOOKUP($F$5,BaseDatos!$B$3:$CF$861,82,FALSE)</f>
        <v>Nota: 1 RESPETA LOS PARAMETROS Y SE CUMPLE CON LA NORMA VIGENTE.</v>
      </c>
      <c r="B21" s="61"/>
      <c r="C21" s="61"/>
      <c r="I21" s="49"/>
      <c r="J21" s="49"/>
      <c r="K21" s="57"/>
      <c r="L21" s="57"/>
      <c r="M21" s="49"/>
      <c r="N21" s="57"/>
      <c r="O21" s="57"/>
      <c r="P21" s="49"/>
      <c r="Q21" s="59"/>
    </row>
    <row r="22" spans="1:17" s="24" customFormat="1" x14ac:dyDescent="0.25">
      <c r="I22" s="49"/>
      <c r="J22" s="49"/>
      <c r="K22" s="57"/>
      <c r="L22" s="57"/>
      <c r="M22" s="59"/>
      <c r="N22" s="57"/>
      <c r="O22" s="57"/>
      <c r="P22" s="49"/>
      <c r="Q22" s="59"/>
    </row>
    <row r="23" spans="1:17" s="24" customFormat="1" ht="15" customHeight="1" x14ac:dyDescent="0.25">
      <c r="A23" s="99" t="s">
        <v>71</v>
      </c>
      <c r="B23" s="99"/>
      <c r="C23" s="99"/>
      <c r="D23" s="99"/>
      <c r="E23" s="99"/>
      <c r="F23" s="38">
        <f>+VLOOKUP($F$5,BaseDatos!$B$3:$AE$861,2,FALSE)</f>
        <v>2</v>
      </c>
      <c r="G23" s="24" t="s">
        <v>317</v>
      </c>
      <c r="I23" s="49"/>
      <c r="J23" s="49"/>
      <c r="K23" s="57"/>
      <c r="L23" s="57"/>
      <c r="M23" s="59"/>
      <c r="N23" s="57"/>
      <c r="O23" s="57"/>
      <c r="P23" s="49"/>
      <c r="Q23" s="59"/>
    </row>
    <row r="24" spans="1:17" s="24" customFormat="1" ht="15" customHeight="1" x14ac:dyDescent="0.25">
      <c r="A24" s="98" t="s">
        <v>318</v>
      </c>
      <c r="B24" s="98"/>
      <c r="C24" s="98"/>
      <c r="D24" s="98"/>
      <c r="E24" s="98"/>
      <c r="F24" s="98"/>
      <c r="G24" s="98"/>
      <c r="I24" s="49"/>
      <c r="J24" s="49"/>
      <c r="K24" s="57"/>
      <c r="L24" s="57"/>
      <c r="M24" s="59"/>
      <c r="N24" s="57"/>
      <c r="O24" s="57"/>
      <c r="P24" s="49"/>
      <c r="Q24" s="59"/>
    </row>
    <row r="25" spans="1:17" s="24" customFormat="1" ht="15" customHeight="1" x14ac:dyDescent="0.25">
      <c r="A25" s="98"/>
      <c r="B25" s="98"/>
      <c r="C25" s="98"/>
      <c r="D25" s="98"/>
      <c r="E25" s="98"/>
      <c r="F25" s="98"/>
      <c r="G25" s="98"/>
      <c r="I25" s="49"/>
      <c r="J25" s="49"/>
      <c r="K25" s="57"/>
      <c r="L25" s="57"/>
      <c r="M25" s="49"/>
      <c r="N25" s="49"/>
      <c r="O25" s="49"/>
      <c r="P25" s="49"/>
      <c r="Q25" s="49"/>
    </row>
    <row r="26" spans="1:17" s="24" customFormat="1" ht="15" customHeight="1" x14ac:dyDescent="0.25">
      <c r="A26" s="98"/>
      <c r="B26" s="98"/>
      <c r="C26" s="98"/>
      <c r="D26" s="98"/>
      <c r="E26" s="98"/>
      <c r="F26" s="98"/>
      <c r="G26" s="98"/>
      <c r="I26" s="49"/>
      <c r="J26" s="49"/>
      <c r="K26" s="49"/>
      <c r="L26" s="49"/>
      <c r="M26" s="49"/>
      <c r="N26" s="49"/>
      <c r="O26" s="49"/>
      <c r="P26" s="49"/>
      <c r="Q26" s="49"/>
    </row>
    <row r="27" spans="1:17" s="24" customFormat="1" ht="15" customHeight="1" x14ac:dyDescent="0.25">
      <c r="A27" s="98"/>
      <c r="B27" s="98"/>
      <c r="C27" s="98"/>
      <c r="D27" s="98"/>
      <c r="E27" s="98"/>
      <c r="F27" s="98"/>
      <c r="G27" s="98"/>
    </row>
    <row r="28" spans="1:17" s="24" customFormat="1" x14ac:dyDescent="0.25">
      <c r="A28" s="39" t="s">
        <v>67</v>
      </c>
      <c r="B28" s="40"/>
      <c r="C28" s="40"/>
      <c r="D28" s="40"/>
      <c r="E28" s="40"/>
      <c r="F28" s="41"/>
    </row>
    <row r="29" spans="1:17" s="24" customFormat="1" ht="15.75" customHeight="1" x14ac:dyDescent="0.25">
      <c r="A29" s="39" t="s">
        <v>62</v>
      </c>
      <c r="B29" s="40"/>
      <c r="D29" s="94" t="str">
        <f>IF(OR(C12="M1",C12="M2",C12="M3"),"PERSONAS","MERCANCIAS")</f>
        <v>PERSONAS</v>
      </c>
      <c r="E29" s="94"/>
      <c r="F29" s="40"/>
    </row>
    <row r="30" spans="1:17" s="24" customFormat="1" x14ac:dyDescent="0.25">
      <c r="A30" s="62"/>
      <c r="F30" s="30"/>
    </row>
    <row r="31" spans="1:17" s="24" customFormat="1" ht="13.5" customHeight="1" x14ac:dyDescent="0.25">
      <c r="A31" s="63" t="s">
        <v>322</v>
      </c>
      <c r="B31" s="63"/>
      <c r="C31" s="63"/>
      <c r="D31" s="63"/>
      <c r="E31" s="93">
        <f ca="1">+VLOOKUP($F$5,BaseDatos!$B$3:$CF$861,83,FALSE)</f>
        <v>44725.739483333331</v>
      </c>
      <c r="F31" s="93"/>
    </row>
    <row r="32" spans="1:17" s="24" customFormat="1" x14ac:dyDescent="0.25"/>
    <row r="33" spans="1:1" x14ac:dyDescent="0.25">
      <c r="A33" s="44"/>
    </row>
    <row r="34" spans="1:1" x14ac:dyDescent="0.25">
      <c r="A34" s="45"/>
    </row>
    <row r="36" spans="1:1" ht="15.75" x14ac:dyDescent="0.25">
      <c r="A36" s="46"/>
    </row>
  </sheetData>
  <sheetProtection password="CB2C" sheet="1" objects="1" scenarios="1"/>
  <mergeCells count="8">
    <mergeCell ref="D29:E29"/>
    <mergeCell ref="C10:F10"/>
    <mergeCell ref="E31:F31"/>
    <mergeCell ref="M11:Q11"/>
    <mergeCell ref="A3:F3"/>
    <mergeCell ref="D5:E5"/>
    <mergeCell ref="A23:E23"/>
    <mergeCell ref="A24:G2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_Pdf_Fabricacion.B_PDF_Fabricacion">
                <anchor moveWithCells="1" sizeWithCells="1">
                  <from>
                    <xdr:col>2</xdr:col>
                    <xdr:colOff>47625</xdr:colOff>
                    <xdr:row>0</xdr:row>
                    <xdr:rowOff>47625</xdr:rowOff>
                  </from>
                  <to>
                    <xdr:col>4</xdr:col>
                    <xdr:colOff>628650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Q37"/>
  <sheetViews>
    <sheetView zoomScale="87" zoomScaleNormal="87" workbookViewId="0">
      <selection activeCell="H5" sqref="H5"/>
    </sheetView>
  </sheetViews>
  <sheetFormatPr baseColWidth="10" defaultRowHeight="15" x14ac:dyDescent="0.25"/>
  <cols>
    <col min="1" max="1" width="5.5703125" style="19" customWidth="1"/>
    <col min="2" max="2" width="14.5703125" style="19" customWidth="1"/>
    <col min="3" max="3" width="22.28515625" style="19" customWidth="1"/>
    <col min="4" max="4" width="7.28515625" style="65" customWidth="1"/>
    <col min="5" max="5" width="13.7109375" style="19" customWidth="1"/>
    <col min="6" max="6" width="7.7109375" style="19" customWidth="1"/>
    <col min="7" max="7" width="8.140625" style="19" customWidth="1"/>
    <col min="8" max="16384" width="11.42578125" style="19"/>
  </cols>
  <sheetData>
    <row r="1" spans="1:17" x14ac:dyDescent="0.25">
      <c r="A1" s="64"/>
    </row>
    <row r="2" spans="1:17" ht="21" x14ac:dyDescent="0.25">
      <c r="A2" s="95" t="s">
        <v>313</v>
      </c>
      <c r="B2" s="95"/>
      <c r="C2" s="95"/>
      <c r="D2" s="95"/>
      <c r="E2" s="95"/>
      <c r="F2" s="95"/>
      <c r="H2" s="66"/>
      <c r="I2" s="66"/>
      <c r="J2" s="66"/>
      <c r="K2" s="66"/>
      <c r="L2" s="66"/>
      <c r="M2" s="66"/>
    </row>
    <row r="3" spans="1:17" ht="21" x14ac:dyDescent="0.25">
      <c r="A3" s="67"/>
      <c r="B3" s="67"/>
      <c r="C3" s="67"/>
      <c r="D3" s="67"/>
      <c r="E3" s="67"/>
      <c r="F3" s="67"/>
      <c r="H3" s="66"/>
      <c r="I3" s="66"/>
      <c r="J3" s="66"/>
      <c r="K3" s="66"/>
      <c r="L3" s="66"/>
      <c r="M3" s="66"/>
    </row>
    <row r="4" spans="1:17" ht="21" x14ac:dyDescent="0.25">
      <c r="A4" s="19" t="s">
        <v>48</v>
      </c>
      <c r="D4" s="96" t="s">
        <v>64</v>
      </c>
      <c r="E4" s="96"/>
      <c r="F4" s="20">
        <v>1</v>
      </c>
      <c r="G4" s="21"/>
      <c r="I4" s="66"/>
      <c r="J4" s="66"/>
      <c r="K4" s="66"/>
      <c r="L4" s="66"/>
      <c r="M4" s="66"/>
    </row>
    <row r="5" spans="1:17" ht="21" x14ac:dyDescent="0.25">
      <c r="I5" s="66"/>
      <c r="J5" s="66"/>
      <c r="K5" s="66"/>
      <c r="L5" s="66"/>
      <c r="M5" s="66"/>
    </row>
    <row r="6" spans="1:17" s="24" customFormat="1" ht="21" x14ac:dyDescent="0.25">
      <c r="A6" s="24" t="s">
        <v>49</v>
      </c>
      <c r="D6" s="68"/>
      <c r="I6" s="69"/>
      <c r="J6" s="69"/>
      <c r="K6" s="69"/>
      <c r="M6" s="69"/>
    </row>
    <row r="7" spans="1:17" s="24" customFormat="1" ht="21" x14ac:dyDescent="0.25">
      <c r="A7" s="36" t="s">
        <v>50</v>
      </c>
      <c r="D7" s="68"/>
      <c r="I7" s="69"/>
      <c r="J7" s="69"/>
      <c r="K7" s="69"/>
      <c r="L7" s="69"/>
      <c r="M7" s="69"/>
      <c r="N7" s="69"/>
      <c r="O7" s="69"/>
      <c r="P7" s="69"/>
      <c r="Q7" s="69"/>
    </row>
    <row r="8" spans="1:17" s="24" customFormat="1" ht="17.25" customHeight="1" x14ac:dyDescent="0.25">
      <c r="A8" s="62"/>
      <c r="D8" s="68"/>
      <c r="I8" s="69"/>
      <c r="J8" s="69"/>
      <c r="K8" s="69"/>
      <c r="L8" s="69"/>
      <c r="M8" s="69"/>
      <c r="N8" s="69"/>
      <c r="O8" s="69"/>
      <c r="P8" s="69"/>
      <c r="Q8" s="69"/>
    </row>
    <row r="9" spans="1:17" s="24" customFormat="1" ht="27.75" customHeight="1" x14ac:dyDescent="0.25">
      <c r="A9" s="55">
        <v>1</v>
      </c>
      <c r="B9" s="56" t="s">
        <v>298</v>
      </c>
      <c r="C9" s="100">
        <f>+VLOOKUP($F$4,BaseDatos!$B$3:$AE$861,3,FALSE)</f>
        <v>3</v>
      </c>
      <c r="D9" s="101"/>
      <c r="E9" s="101"/>
      <c r="F9" s="102"/>
      <c r="G9" s="103"/>
      <c r="I9" s="69"/>
      <c r="J9" s="69"/>
      <c r="K9" s="69"/>
      <c r="L9" s="69"/>
      <c r="M9" s="69"/>
      <c r="N9" s="69"/>
      <c r="O9" s="69"/>
      <c r="P9" s="69"/>
      <c r="Q9" s="69"/>
    </row>
    <row r="10" spans="1:17" s="24" customFormat="1" ht="17.25" customHeight="1" x14ac:dyDescent="0.25">
      <c r="A10" s="55">
        <v>2</v>
      </c>
      <c r="B10" s="70" t="s">
        <v>299</v>
      </c>
      <c r="C10" s="71">
        <f>+VLOOKUP($F$4,BaseDatos!$B$3:$AE$861,4,FALSE)</f>
        <v>4</v>
      </c>
      <c r="D10" s="55">
        <v>15</v>
      </c>
      <c r="E10" s="70" t="s">
        <v>26</v>
      </c>
      <c r="F10" s="27">
        <f>+VLOOKUP($F$4,BaseDatos!$B$3:$AE$861,13,FALSE)</f>
        <v>13</v>
      </c>
      <c r="G10" s="27"/>
      <c r="I10" s="69"/>
      <c r="J10" s="69"/>
      <c r="K10" s="69"/>
      <c r="L10" s="69"/>
      <c r="M10" s="69"/>
      <c r="N10" s="69"/>
      <c r="O10" s="69"/>
      <c r="P10" s="69"/>
      <c r="Q10" s="69"/>
    </row>
    <row r="11" spans="1:17" s="24" customFormat="1" ht="17.25" customHeight="1" x14ac:dyDescent="0.25">
      <c r="A11" s="55">
        <v>3</v>
      </c>
      <c r="B11" s="70" t="s">
        <v>300</v>
      </c>
      <c r="C11" s="27">
        <f>+VLOOKUP($F$4,BaseDatos!$B$3:$AE$861,12,FALSE)</f>
        <v>12</v>
      </c>
      <c r="D11" s="55">
        <v>16</v>
      </c>
      <c r="E11" s="70" t="s">
        <v>52</v>
      </c>
      <c r="F11" s="27">
        <f>+VLOOKUP($F$4,BaseDatos!$B$3:$AE$861,14,FALSE)</f>
        <v>14</v>
      </c>
      <c r="G11" s="29"/>
      <c r="I11" s="69"/>
      <c r="J11" s="69"/>
      <c r="K11" s="69"/>
      <c r="L11" s="69"/>
      <c r="M11" s="69"/>
      <c r="N11" s="69"/>
      <c r="O11" s="69"/>
    </row>
    <row r="12" spans="1:17" s="24" customFormat="1" ht="17.25" customHeight="1" x14ac:dyDescent="0.25">
      <c r="A12" s="55">
        <v>4</v>
      </c>
      <c r="B12" s="70" t="s">
        <v>301</v>
      </c>
      <c r="C12" s="27">
        <f>+VLOOKUP($F$4,BaseDatos!$B$3:$AE$861,5,FALSE)</f>
        <v>5</v>
      </c>
      <c r="D12" s="55">
        <v>17</v>
      </c>
      <c r="E12" s="70" t="s">
        <v>302</v>
      </c>
      <c r="F12" s="27">
        <f>+VLOOKUP($F$4,BaseDatos!$B$3:$AE$861,18,FALSE)</f>
        <v>18</v>
      </c>
      <c r="G12" s="29"/>
      <c r="I12" s="69"/>
      <c r="J12" s="69"/>
      <c r="K12" s="69"/>
      <c r="L12" s="69"/>
      <c r="M12" s="69"/>
      <c r="N12" s="69"/>
      <c r="O12" s="69"/>
    </row>
    <row r="13" spans="1:17" s="24" customFormat="1" ht="17.25" customHeight="1" x14ac:dyDescent="0.25">
      <c r="A13" s="55">
        <v>5</v>
      </c>
      <c r="B13" s="70" t="s">
        <v>303</v>
      </c>
      <c r="C13" s="27">
        <f>+VLOOKUP($F$4,BaseDatos!$B$3:$AE$861,6,FALSE)</f>
        <v>6</v>
      </c>
      <c r="D13" s="55">
        <v>18</v>
      </c>
      <c r="E13" s="70" t="s">
        <v>304</v>
      </c>
      <c r="F13" s="27">
        <f>+VLOOKUP($F$4,BaseDatos!$B$3:$AE$861,19,FALSE)</f>
        <v>19</v>
      </c>
      <c r="G13" s="29"/>
      <c r="I13" s="69"/>
      <c r="J13" s="69"/>
      <c r="K13" s="69"/>
      <c r="L13" s="69"/>
      <c r="M13" s="69"/>
      <c r="N13" s="69"/>
      <c r="O13" s="69"/>
    </row>
    <row r="14" spans="1:17" s="24" customFormat="1" ht="17.25" customHeight="1" x14ac:dyDescent="0.25">
      <c r="A14" s="55">
        <v>6</v>
      </c>
      <c r="B14" s="70" t="s">
        <v>305</v>
      </c>
      <c r="C14" s="27">
        <f>+VLOOKUP($F$4,BaseDatos!$B$3:$AE$861,7,FALSE)</f>
        <v>7</v>
      </c>
      <c r="D14" s="55">
        <v>19</v>
      </c>
      <c r="E14" s="70" t="s">
        <v>29</v>
      </c>
      <c r="F14" s="27">
        <f>+VLOOKUP($F$4,BaseDatos!$B$3:$AE$861,16,FALSE)</f>
        <v>16</v>
      </c>
      <c r="G14" s="29"/>
      <c r="I14" s="69"/>
      <c r="J14" s="69"/>
      <c r="K14" s="69"/>
      <c r="L14" s="69"/>
      <c r="M14" s="69"/>
      <c r="N14" s="69"/>
      <c r="O14" s="69"/>
    </row>
    <row r="15" spans="1:17" s="24" customFormat="1" ht="17.25" customHeight="1" x14ac:dyDescent="0.25">
      <c r="A15" s="55">
        <v>7</v>
      </c>
      <c r="B15" s="70" t="s">
        <v>55</v>
      </c>
      <c r="C15" s="27">
        <f>+VLOOKUP($F$4,BaseDatos!$B$3:$AE$861,30,FALSE)</f>
        <v>30</v>
      </c>
      <c r="D15" s="55">
        <v>20</v>
      </c>
      <c r="E15" s="70" t="s">
        <v>30</v>
      </c>
      <c r="F15" s="27">
        <f>+VLOOKUP($F$4,BaseDatos!$B$3:$AE$861,17,FALSE)</f>
        <v>17</v>
      </c>
      <c r="G15" s="29"/>
      <c r="I15" s="69"/>
      <c r="J15" s="69"/>
      <c r="K15" s="69"/>
      <c r="L15" s="69"/>
      <c r="M15" s="69"/>
      <c r="N15" s="69"/>
      <c r="O15" s="69"/>
    </row>
    <row r="16" spans="1:17" s="24" customFormat="1" ht="17.25" customHeight="1" x14ac:dyDescent="0.25">
      <c r="A16" s="55">
        <v>8</v>
      </c>
      <c r="B16" s="70" t="s">
        <v>28</v>
      </c>
      <c r="C16" s="27">
        <f>+VLOOKUP($F$4,BaseDatos!$B$3:$AE$861,15,FALSE)</f>
        <v>15</v>
      </c>
      <c r="D16" s="55">
        <v>21</v>
      </c>
      <c r="E16" s="70" t="s">
        <v>306</v>
      </c>
      <c r="F16" s="72">
        <f>+VLOOKUP($F$4,BaseDatos!$B$3:$AE$861,26,FALSE)</f>
        <v>26</v>
      </c>
      <c r="G16" s="29" t="s">
        <v>56</v>
      </c>
      <c r="I16" s="69"/>
      <c r="J16" s="69"/>
      <c r="K16" s="69"/>
      <c r="L16" s="69"/>
      <c r="M16" s="69"/>
      <c r="N16" s="69"/>
      <c r="O16" s="69"/>
    </row>
    <row r="17" spans="1:15" s="24" customFormat="1" ht="17.25" customHeight="1" x14ac:dyDescent="0.25">
      <c r="A17" s="55">
        <v>9</v>
      </c>
      <c r="B17" s="70" t="s">
        <v>23</v>
      </c>
      <c r="C17" s="35">
        <f>+VLOOKUP($F$4,BaseDatos!$B$3:$AE$861,9,FALSE)</f>
        <v>9</v>
      </c>
      <c r="D17" s="55">
        <v>22</v>
      </c>
      <c r="E17" s="70" t="s">
        <v>307</v>
      </c>
      <c r="F17" s="73">
        <f>+VLOOKUP($F$4,BaseDatos!$B$3:$AE$861,25,FALSE)</f>
        <v>25</v>
      </c>
      <c r="G17" s="29" t="s">
        <v>56</v>
      </c>
      <c r="I17" s="69"/>
      <c r="J17" s="69"/>
      <c r="K17" s="69"/>
      <c r="L17" s="69"/>
      <c r="M17" s="69"/>
      <c r="N17" s="69"/>
      <c r="O17" s="69"/>
    </row>
    <row r="18" spans="1:15" s="24" customFormat="1" ht="17.25" customHeight="1" x14ac:dyDescent="0.25">
      <c r="A18" s="55">
        <v>10</v>
      </c>
      <c r="B18" s="70" t="s">
        <v>24</v>
      </c>
      <c r="C18" s="74">
        <f>+VLOOKUP($F$4,BaseDatos!$B$3:$AE$861,10,FALSE)</f>
        <v>10</v>
      </c>
      <c r="D18" s="55">
        <v>23</v>
      </c>
      <c r="E18" s="70" t="s">
        <v>34</v>
      </c>
      <c r="F18" s="72">
        <f>+VLOOKUP($F$4,BaseDatos!$B$3:$AE$861,21,FALSE)</f>
        <v>21</v>
      </c>
      <c r="G18" s="29" t="s">
        <v>57</v>
      </c>
      <c r="I18" s="69"/>
      <c r="J18" s="69"/>
      <c r="K18" s="69"/>
      <c r="L18" s="69"/>
      <c r="M18" s="69"/>
      <c r="N18" s="69"/>
      <c r="O18" s="69"/>
    </row>
    <row r="19" spans="1:15" s="24" customFormat="1" ht="17.25" customHeight="1" x14ac:dyDescent="0.25">
      <c r="A19" s="55">
        <v>11</v>
      </c>
      <c r="B19" s="70" t="s">
        <v>58</v>
      </c>
      <c r="C19" s="27">
        <f>+VLOOKUP($F$4,BaseDatos!$B$3:$AE$861,11,FALSE)</f>
        <v>11</v>
      </c>
      <c r="D19" s="55">
        <v>24</v>
      </c>
      <c r="E19" s="70" t="s">
        <v>35</v>
      </c>
      <c r="F19" s="72">
        <f>+VLOOKUP($F$4,BaseDatos!$B$3:$AE$861,22,FALSE)</f>
        <v>22</v>
      </c>
      <c r="G19" s="29" t="s">
        <v>57</v>
      </c>
      <c r="I19" s="69"/>
      <c r="J19" s="69"/>
      <c r="K19" s="69"/>
      <c r="L19" s="69"/>
      <c r="M19" s="69"/>
      <c r="N19" s="69"/>
      <c r="O19" s="69"/>
    </row>
    <row r="20" spans="1:15" s="24" customFormat="1" ht="17.25" customHeight="1" x14ac:dyDescent="0.25">
      <c r="A20" s="55">
        <v>12</v>
      </c>
      <c r="B20" s="70" t="s">
        <v>33</v>
      </c>
      <c r="C20" s="27">
        <f>+VLOOKUP($F$4,BaseDatos!$B$3:$AE$861,20,FALSE)</f>
        <v>20</v>
      </c>
      <c r="D20" s="55">
        <v>25</v>
      </c>
      <c r="E20" s="70" t="s">
        <v>36</v>
      </c>
      <c r="F20" s="72">
        <f>+VLOOKUP($F$4,BaseDatos!$B$3:$AE$861,23,FALSE)</f>
        <v>23</v>
      </c>
      <c r="G20" s="29" t="s">
        <v>57</v>
      </c>
      <c r="I20" s="69"/>
      <c r="J20" s="69"/>
      <c r="K20" s="69"/>
      <c r="L20" s="69"/>
      <c r="M20" s="69"/>
      <c r="N20" s="69"/>
      <c r="O20" s="69"/>
    </row>
    <row r="21" spans="1:15" s="24" customFormat="1" ht="17.25" customHeight="1" x14ac:dyDescent="0.25">
      <c r="A21" s="55">
        <v>13</v>
      </c>
      <c r="B21" s="70" t="s">
        <v>37</v>
      </c>
      <c r="C21" s="27">
        <f>+VLOOKUP($F$4,BaseDatos!$B$3:$AE$861,24,FALSE)</f>
        <v>24</v>
      </c>
      <c r="D21" s="55">
        <v>26</v>
      </c>
      <c r="E21" s="70" t="s">
        <v>308</v>
      </c>
      <c r="F21" s="72">
        <f>+VLOOKUP($F$4,BaseDatos!$B$3:$AE$861,27,FALSE)</f>
        <v>27</v>
      </c>
      <c r="G21" s="29" t="s">
        <v>56</v>
      </c>
      <c r="I21" s="69"/>
      <c r="J21" s="69"/>
      <c r="K21" s="69"/>
      <c r="L21" s="69"/>
      <c r="M21" s="69"/>
      <c r="N21" s="69"/>
      <c r="O21" s="69"/>
    </row>
    <row r="22" spans="1:15" s="24" customFormat="1" ht="17.25" customHeight="1" x14ac:dyDescent="0.25">
      <c r="A22" s="55">
        <v>14</v>
      </c>
      <c r="B22" s="70" t="s">
        <v>59</v>
      </c>
      <c r="C22" s="33">
        <f>+VLOOKUP($F$4,BaseDatos!$B$3:$AE$861,8,FALSE)</f>
        <v>8</v>
      </c>
      <c r="D22" s="75"/>
      <c r="E22" s="76"/>
      <c r="F22" s="76"/>
      <c r="G22" s="29"/>
      <c r="I22" s="69"/>
      <c r="J22" s="69"/>
      <c r="K22" s="69"/>
      <c r="L22" s="69"/>
      <c r="M22" s="69"/>
      <c r="N22" s="69"/>
      <c r="O22" s="69"/>
    </row>
    <row r="23" spans="1:15" s="24" customFormat="1" ht="17.25" customHeight="1" x14ac:dyDescent="0.25">
      <c r="A23" s="77"/>
      <c r="B23" s="78"/>
      <c r="C23" s="59"/>
      <c r="D23" s="79"/>
      <c r="E23" s="80"/>
      <c r="F23" s="80"/>
      <c r="G23" s="59"/>
      <c r="I23" s="69"/>
      <c r="J23" s="69"/>
      <c r="K23" s="69"/>
      <c r="L23" s="69"/>
      <c r="M23" s="69"/>
      <c r="N23" s="69"/>
      <c r="O23" s="69"/>
    </row>
    <row r="24" spans="1:15" s="24" customFormat="1" ht="17.25" customHeight="1" x14ac:dyDescent="0.25">
      <c r="A24" s="93">
        <f>+VLOOKUP($F$4,BaseDatos!$B$3:$CF$861,82,FALSE)</f>
        <v>0</v>
      </c>
      <c r="B24" s="93"/>
      <c r="C24" s="59"/>
      <c r="D24" s="79"/>
      <c r="E24" s="80"/>
      <c r="F24" s="80"/>
      <c r="G24" s="59"/>
      <c r="I24" s="69"/>
      <c r="J24" s="69"/>
      <c r="K24" s="69"/>
      <c r="L24" s="69"/>
      <c r="M24" s="69"/>
      <c r="N24" s="69"/>
      <c r="O24" s="69"/>
    </row>
    <row r="25" spans="1:15" s="24" customFormat="1" ht="17.25" customHeight="1" x14ac:dyDescent="0.25">
      <c r="A25" s="77"/>
      <c r="B25" s="78"/>
      <c r="C25" s="59"/>
      <c r="D25" s="79"/>
      <c r="E25" s="80"/>
      <c r="F25" s="80"/>
      <c r="G25" s="59"/>
      <c r="I25" s="69"/>
      <c r="J25" s="69"/>
      <c r="K25" s="69"/>
      <c r="L25" s="69"/>
      <c r="M25" s="69"/>
      <c r="N25" s="69"/>
      <c r="O25" s="69"/>
    </row>
    <row r="26" spans="1:15" s="24" customFormat="1" ht="17.25" customHeight="1" x14ac:dyDescent="0.25">
      <c r="D26" s="68"/>
      <c r="I26" s="69"/>
      <c r="J26" s="69"/>
      <c r="K26" s="69"/>
      <c r="L26" s="69"/>
      <c r="M26" s="69"/>
      <c r="N26" s="69"/>
      <c r="O26" s="69"/>
    </row>
    <row r="27" spans="1:15" s="24" customFormat="1" ht="17.25" customHeight="1" x14ac:dyDescent="0.25">
      <c r="A27" s="99" t="s">
        <v>71</v>
      </c>
      <c r="B27" s="99"/>
      <c r="C27" s="99"/>
      <c r="D27" s="99"/>
      <c r="E27" s="99"/>
      <c r="F27" s="38">
        <f>+VLOOKUP($F$4,BaseDatos!$B$3:$AE$861,2,FALSE)</f>
        <v>1</v>
      </c>
      <c r="G27" s="24" t="s">
        <v>314</v>
      </c>
      <c r="I27" s="69"/>
      <c r="J27" s="69"/>
      <c r="K27" s="69"/>
      <c r="L27" s="69"/>
      <c r="M27" s="69"/>
      <c r="N27" s="69"/>
      <c r="O27" s="69"/>
    </row>
    <row r="28" spans="1:15" s="24" customFormat="1" ht="15" customHeight="1" x14ac:dyDescent="0.25">
      <c r="A28" s="98" t="s">
        <v>315</v>
      </c>
      <c r="B28" s="98"/>
      <c r="C28" s="98"/>
      <c r="D28" s="98"/>
      <c r="E28" s="98"/>
      <c r="F28" s="98"/>
      <c r="G28" s="98"/>
      <c r="I28" s="69"/>
      <c r="J28" s="69"/>
      <c r="K28" s="69"/>
      <c r="L28" s="69"/>
      <c r="M28" s="69"/>
      <c r="N28" s="69"/>
      <c r="O28" s="69"/>
    </row>
    <row r="29" spans="1:15" s="24" customFormat="1" ht="21" x14ac:dyDescent="0.25">
      <c r="A29" s="98"/>
      <c r="B29" s="98"/>
      <c r="C29" s="98"/>
      <c r="D29" s="98"/>
      <c r="E29" s="98"/>
      <c r="F29" s="98"/>
      <c r="G29" s="98"/>
      <c r="I29" s="69"/>
      <c r="J29" s="69"/>
      <c r="K29" s="69"/>
      <c r="L29" s="69"/>
      <c r="M29" s="69"/>
      <c r="N29" s="69"/>
      <c r="O29" s="69"/>
    </row>
    <row r="30" spans="1:15" s="24" customFormat="1" ht="21" x14ac:dyDescent="0.25">
      <c r="A30" s="98"/>
      <c r="B30" s="98"/>
      <c r="C30" s="98"/>
      <c r="D30" s="98"/>
      <c r="E30" s="98"/>
      <c r="F30" s="98"/>
      <c r="G30" s="98"/>
      <c r="I30" s="69"/>
      <c r="J30" s="69"/>
      <c r="K30" s="69"/>
      <c r="L30" s="69"/>
      <c r="M30" s="69"/>
      <c r="N30" s="69"/>
      <c r="O30" s="69"/>
    </row>
    <row r="31" spans="1:15" s="24" customFormat="1" ht="21" x14ac:dyDescent="0.25">
      <c r="A31" s="98"/>
      <c r="B31" s="98"/>
      <c r="C31" s="98"/>
      <c r="D31" s="98"/>
      <c r="E31" s="98"/>
      <c r="F31" s="98"/>
      <c r="G31" s="98"/>
      <c r="I31" s="69"/>
      <c r="J31" s="69"/>
      <c r="K31" s="69"/>
      <c r="L31" s="69"/>
      <c r="M31" s="69"/>
      <c r="N31" s="69"/>
      <c r="O31" s="69"/>
    </row>
    <row r="32" spans="1:15" s="24" customFormat="1" x14ac:dyDescent="0.25">
      <c r="D32" s="68"/>
    </row>
    <row r="33" spans="1:5" s="24" customFormat="1" x14ac:dyDescent="0.25">
      <c r="A33" s="39" t="s">
        <v>67</v>
      </c>
      <c r="D33" s="68"/>
    </row>
    <row r="34" spans="1:5" s="24" customFormat="1" ht="15" customHeight="1" x14ac:dyDescent="0.25">
      <c r="A34" s="24" t="s">
        <v>62</v>
      </c>
      <c r="D34" s="94" t="str">
        <f>IF(OR(E21="M1",E21="M2",E21="M3"),"PERSONAS","MERCANCIAS")</f>
        <v>MERCANCIAS</v>
      </c>
      <c r="E34" s="94"/>
    </row>
    <row r="35" spans="1:5" s="24" customFormat="1" x14ac:dyDescent="0.25">
      <c r="D35" s="68"/>
    </row>
    <row r="36" spans="1:5" s="24" customFormat="1" x14ac:dyDescent="0.25">
      <c r="D36" s="68"/>
    </row>
    <row r="37" spans="1:5" s="24" customFormat="1" x14ac:dyDescent="0.25">
      <c r="A37" s="81" t="s">
        <v>321</v>
      </c>
      <c r="D37" s="93">
        <f ca="1">+VLOOKUP($F$4,BaseDatos!$B$3:$CF$861,83,FALSE)</f>
        <v>44725.735078472222</v>
      </c>
      <c r="E37" s="93"/>
    </row>
  </sheetData>
  <sheetProtection password="CB2C" sheet="1" objects="1" scenarios="1"/>
  <mergeCells count="8">
    <mergeCell ref="A2:F2"/>
    <mergeCell ref="D4:E4"/>
    <mergeCell ref="D37:E37"/>
    <mergeCell ref="D34:E34"/>
    <mergeCell ref="C9:G9"/>
    <mergeCell ref="A28:G31"/>
    <mergeCell ref="A27:E27"/>
    <mergeCell ref="A24:B2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_Pdf_Montaje.B_PDF_Montaje">
                <anchor moveWithCells="1" sizeWithCells="1">
                  <from>
                    <xdr:col>2</xdr:col>
                    <xdr:colOff>495300</xdr:colOff>
                    <xdr:row>1</xdr:row>
                    <xdr:rowOff>247650</xdr:rowOff>
                  </from>
                  <to>
                    <xdr:col>2</xdr:col>
                    <xdr:colOff>1200150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15"/>
  <sheetViews>
    <sheetView workbookViewId="0">
      <selection activeCell="B7" sqref="B7"/>
    </sheetView>
  </sheetViews>
  <sheetFormatPr baseColWidth="10" defaultRowHeight="15" x14ac:dyDescent="0.25"/>
  <cols>
    <col min="2" max="2" width="31.7109375" customWidth="1"/>
    <col min="5" max="5" width="33.85546875" customWidth="1"/>
  </cols>
  <sheetData>
    <row r="1" spans="1:3" x14ac:dyDescent="0.25">
      <c r="A1" s="4" t="s">
        <v>9</v>
      </c>
      <c r="B1" t="s">
        <v>12</v>
      </c>
      <c r="C1" t="s">
        <v>11</v>
      </c>
    </row>
    <row r="2" spans="1:3" x14ac:dyDescent="0.25">
      <c r="A2" s="4" t="s">
        <v>13</v>
      </c>
      <c r="B2" t="s">
        <v>14</v>
      </c>
      <c r="C2" t="s">
        <v>15</v>
      </c>
    </row>
    <row r="3" spans="1:3" x14ac:dyDescent="0.25">
      <c r="A3" s="4" t="s">
        <v>18</v>
      </c>
      <c r="B3" t="s">
        <v>17</v>
      </c>
      <c r="C3" t="s">
        <v>16</v>
      </c>
    </row>
    <row r="5" spans="1:3" x14ac:dyDescent="0.25">
      <c r="C5" s="2"/>
    </row>
    <row r="6" spans="1:3" x14ac:dyDescent="0.25">
      <c r="A6" s="3" t="s">
        <v>68</v>
      </c>
      <c r="C6" s="1" t="s">
        <v>69</v>
      </c>
    </row>
    <row r="10" spans="1:3" x14ac:dyDescent="0.25">
      <c r="B10" s="16">
        <f ca="1">IF(A10="",0,NOW())</f>
        <v>0</v>
      </c>
    </row>
    <row r="11" spans="1:3" ht="15.75" thickBot="1" x14ac:dyDescent="0.3">
      <c r="A11">
        <v>4564</v>
      </c>
      <c r="B11" s="17">
        <f ca="1">+NOW()</f>
        <v>44729.415312268517</v>
      </c>
    </row>
    <row r="12" spans="1:3" ht="15.75" thickBot="1" x14ac:dyDescent="0.3">
      <c r="A12" s="15">
        <v>15</v>
      </c>
      <c r="B12" s="16">
        <f ca="1">IF(B12=0,IF(A12="",0,NOW()),B12)</f>
        <v>44725.720361574073</v>
      </c>
    </row>
    <row r="15" spans="1:3" s="18" customFormat="1" x14ac:dyDescent="0.25">
      <c r="A15" s="18" t="s">
        <v>331</v>
      </c>
    </row>
  </sheetData>
  <hyperlinks>
    <hyperlink ref="A3" r:id="rId1"/>
    <hyperlink ref="A2" r:id="rId2"/>
    <hyperlink ref="A1" r:id="rId3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E97"/>
  <sheetViews>
    <sheetView workbookViewId="0">
      <selection activeCell="D9" sqref="D9"/>
    </sheetView>
  </sheetViews>
  <sheetFormatPr baseColWidth="10" defaultRowHeight="15" x14ac:dyDescent="0.25"/>
  <cols>
    <col min="2" max="2" width="24" customWidth="1"/>
    <col min="3" max="3" width="28.140625" customWidth="1"/>
    <col min="4" max="4" width="23.42578125" customWidth="1"/>
    <col min="5" max="5" width="28" customWidth="1"/>
    <col min="6" max="6" width="14.85546875" customWidth="1"/>
  </cols>
  <sheetData>
    <row r="1" spans="1:83" x14ac:dyDescent="0.25">
      <c r="A1" s="8" t="s">
        <v>119</v>
      </c>
      <c r="B1" s="8" t="s">
        <v>225</v>
      </c>
      <c r="C1" s="5" t="s">
        <v>226</v>
      </c>
      <c r="D1" s="5"/>
      <c r="E1" s="12" t="s">
        <v>246</v>
      </c>
      <c r="F1" s="12" t="s">
        <v>2</v>
      </c>
      <c r="G1" s="12"/>
      <c r="H1" s="13" t="s">
        <v>297</v>
      </c>
    </row>
    <row r="2" spans="1:83" x14ac:dyDescent="0.25">
      <c r="A2" s="9" t="s">
        <v>120</v>
      </c>
      <c r="B2" s="9" t="s">
        <v>132</v>
      </c>
      <c r="C2" s="6" t="s">
        <v>227</v>
      </c>
      <c r="D2" s="6" t="s">
        <v>268</v>
      </c>
      <c r="E2" s="12" t="s">
        <v>250</v>
      </c>
      <c r="F2" s="12" t="s">
        <v>272</v>
      </c>
      <c r="G2" s="12"/>
      <c r="H2" s="6" t="s">
        <v>61</v>
      </c>
    </row>
    <row r="3" spans="1:83" x14ac:dyDescent="0.25">
      <c r="A3" s="9" t="s">
        <v>121</v>
      </c>
      <c r="B3" s="9" t="s">
        <v>133</v>
      </c>
      <c r="C3" s="6" t="s">
        <v>228</v>
      </c>
      <c r="D3" s="6" t="s">
        <v>269</v>
      </c>
      <c r="E3" s="12" t="s">
        <v>251</v>
      </c>
      <c r="F3" s="12" t="s">
        <v>273</v>
      </c>
      <c r="G3" s="12"/>
      <c r="H3" s="6"/>
    </row>
    <row r="4" spans="1:83" x14ac:dyDescent="0.25">
      <c r="A4" s="9" t="s">
        <v>122</v>
      </c>
      <c r="B4" s="9" t="s">
        <v>134</v>
      </c>
      <c r="C4" s="6" t="s">
        <v>229</v>
      </c>
      <c r="D4" s="6" t="s">
        <v>270</v>
      </c>
      <c r="E4" s="12" t="s">
        <v>252</v>
      </c>
      <c r="F4" s="12" t="s">
        <v>274</v>
      </c>
      <c r="G4" s="12"/>
      <c r="H4" s="6"/>
      <c r="J4" s="14"/>
      <c r="K4" s="14"/>
      <c r="AU4" t="s">
        <v>247</v>
      </c>
      <c r="BJ4" t="s">
        <v>248</v>
      </c>
      <c r="BY4" t="s">
        <v>249</v>
      </c>
      <c r="BZ4" t="s">
        <v>267</v>
      </c>
      <c r="CE4" t="s">
        <v>61</v>
      </c>
    </row>
    <row r="5" spans="1:83" x14ac:dyDescent="0.25">
      <c r="A5" s="9" t="s">
        <v>123</v>
      </c>
      <c r="B5" s="9" t="s">
        <v>145</v>
      </c>
      <c r="C5" s="6" t="s">
        <v>230</v>
      </c>
      <c r="D5" s="6" t="s">
        <v>271</v>
      </c>
      <c r="E5" s="12" t="s">
        <v>253</v>
      </c>
      <c r="F5" s="12" t="s">
        <v>275</v>
      </c>
      <c r="G5" s="12"/>
      <c r="H5" s="6"/>
    </row>
    <row r="6" spans="1:83" x14ac:dyDescent="0.25">
      <c r="A6" s="9" t="s">
        <v>124</v>
      </c>
      <c r="B6" s="9" t="s">
        <v>135</v>
      </c>
      <c r="C6" s="6" t="s">
        <v>231</v>
      </c>
      <c r="F6" s="12" t="s">
        <v>276</v>
      </c>
      <c r="G6" s="12"/>
      <c r="H6" s="6"/>
    </row>
    <row r="7" spans="1:83" x14ac:dyDescent="0.25">
      <c r="A7" s="9" t="s">
        <v>125</v>
      </c>
      <c r="B7" s="9" t="s">
        <v>136</v>
      </c>
      <c r="C7" s="6" t="s">
        <v>243</v>
      </c>
      <c r="F7" s="12" t="s">
        <v>277</v>
      </c>
      <c r="G7" s="12"/>
      <c r="H7" s="6"/>
    </row>
    <row r="8" spans="1:83" x14ac:dyDescent="0.25">
      <c r="A8" s="9" t="s">
        <v>126</v>
      </c>
      <c r="B8" s="9" t="s">
        <v>137</v>
      </c>
      <c r="C8" s="6" t="s">
        <v>42</v>
      </c>
      <c r="F8" s="12" t="s">
        <v>278</v>
      </c>
      <c r="G8" s="12"/>
      <c r="H8" s="6"/>
    </row>
    <row r="9" spans="1:83" x14ac:dyDescent="0.25">
      <c r="A9" s="9" t="s">
        <v>20</v>
      </c>
      <c r="B9" s="9" t="s">
        <v>138</v>
      </c>
      <c r="C9" s="6" t="s">
        <v>232</v>
      </c>
      <c r="F9" s="12" t="s">
        <v>279</v>
      </c>
      <c r="G9" s="12"/>
      <c r="H9" s="6"/>
    </row>
    <row r="10" spans="1:83" x14ac:dyDescent="0.25">
      <c r="A10" s="9" t="s">
        <v>116</v>
      </c>
      <c r="B10" s="9" t="s">
        <v>139</v>
      </c>
      <c r="C10" s="6" t="s">
        <v>233</v>
      </c>
      <c r="F10" s="12" t="s">
        <v>280</v>
      </c>
      <c r="G10" s="12"/>
      <c r="H10" s="6"/>
    </row>
    <row r="11" spans="1:83" x14ac:dyDescent="0.25">
      <c r="A11" s="9" t="s">
        <v>117</v>
      </c>
      <c r="B11" s="9" t="s">
        <v>140</v>
      </c>
      <c r="C11" s="6" t="s">
        <v>234</v>
      </c>
      <c r="F11" s="12" t="s">
        <v>281</v>
      </c>
      <c r="G11" s="12"/>
      <c r="H11" s="6"/>
    </row>
    <row r="12" spans="1:83" x14ac:dyDescent="0.25">
      <c r="A12" s="9" t="s">
        <v>43</v>
      </c>
      <c r="B12" s="9" t="s">
        <v>141</v>
      </c>
      <c r="C12" s="6" t="s">
        <v>235</v>
      </c>
      <c r="F12" s="12" t="s">
        <v>282</v>
      </c>
      <c r="G12" s="12"/>
      <c r="H12" s="6"/>
    </row>
    <row r="13" spans="1:83" x14ac:dyDescent="0.25">
      <c r="A13" s="9" t="s">
        <v>131</v>
      </c>
      <c r="B13" s="9" t="s">
        <v>142</v>
      </c>
      <c r="C13" s="6" t="s">
        <v>236</v>
      </c>
      <c r="F13" s="12" t="s">
        <v>283</v>
      </c>
      <c r="G13" s="12"/>
      <c r="H13" s="6"/>
    </row>
    <row r="14" spans="1:83" x14ac:dyDescent="0.25">
      <c r="A14" s="9" t="s">
        <v>118</v>
      </c>
      <c r="B14" s="9" t="s">
        <v>143</v>
      </c>
      <c r="C14" s="6" t="s">
        <v>237</v>
      </c>
      <c r="F14" s="12" t="s">
        <v>284</v>
      </c>
      <c r="G14" s="12"/>
      <c r="H14" s="6"/>
    </row>
    <row r="15" spans="1:83" x14ac:dyDescent="0.25">
      <c r="A15" s="9" t="s">
        <v>44</v>
      </c>
      <c r="B15" s="9" t="s">
        <v>144</v>
      </c>
      <c r="C15" s="6" t="s">
        <v>226</v>
      </c>
      <c r="F15" s="12" t="s">
        <v>285</v>
      </c>
      <c r="G15" s="12"/>
      <c r="H15" s="6"/>
    </row>
    <row r="16" spans="1:83" x14ac:dyDescent="0.25">
      <c r="A16" s="10" t="s">
        <v>46</v>
      </c>
      <c r="B16" s="9" t="s">
        <v>146</v>
      </c>
      <c r="C16" s="6" t="s">
        <v>238</v>
      </c>
      <c r="F16" s="12" t="s">
        <v>286</v>
      </c>
      <c r="G16" s="12"/>
      <c r="H16" s="6"/>
    </row>
    <row r="17" spans="1:8" x14ac:dyDescent="0.25">
      <c r="A17" s="10" t="s">
        <v>127</v>
      </c>
      <c r="B17" s="9" t="s">
        <v>147</v>
      </c>
      <c r="C17" s="6" t="s">
        <v>239</v>
      </c>
      <c r="F17" s="12" t="s">
        <v>287</v>
      </c>
      <c r="G17" s="12"/>
      <c r="H17" s="6"/>
    </row>
    <row r="18" spans="1:8" x14ac:dyDescent="0.25">
      <c r="A18" s="10" t="s">
        <v>128</v>
      </c>
      <c r="B18" s="9" t="s">
        <v>148</v>
      </c>
      <c r="C18" s="6" t="s">
        <v>240</v>
      </c>
      <c r="F18" s="12" t="s">
        <v>288</v>
      </c>
      <c r="G18" s="12"/>
      <c r="H18" s="6"/>
    </row>
    <row r="19" spans="1:8" x14ac:dyDescent="0.25">
      <c r="A19" s="9" t="s">
        <v>130</v>
      </c>
      <c r="B19" s="9" t="s">
        <v>149</v>
      </c>
      <c r="C19" s="6" t="s">
        <v>241</v>
      </c>
      <c r="F19" s="12" t="s">
        <v>289</v>
      </c>
      <c r="G19" s="12"/>
      <c r="H19" s="6"/>
    </row>
    <row r="20" spans="1:8" ht="15.75" thickBot="1" x14ac:dyDescent="0.3">
      <c r="A20" s="11" t="s">
        <v>129</v>
      </c>
      <c r="B20" s="9" t="s">
        <v>150</v>
      </c>
      <c r="C20" s="6" t="s">
        <v>242</v>
      </c>
      <c r="F20" s="12" t="s">
        <v>290</v>
      </c>
      <c r="G20" s="12"/>
      <c r="H20" s="7"/>
    </row>
    <row r="21" spans="1:8" x14ac:dyDescent="0.25">
      <c r="B21" s="9" t="s">
        <v>151</v>
      </c>
      <c r="C21" s="6" t="s">
        <v>244</v>
      </c>
      <c r="F21" s="12" t="s">
        <v>291</v>
      </c>
      <c r="G21" s="12"/>
    </row>
    <row r="22" spans="1:8" ht="15.75" thickBot="1" x14ac:dyDescent="0.3">
      <c r="B22" s="9" t="s">
        <v>152</v>
      </c>
      <c r="C22" s="7" t="s">
        <v>245</v>
      </c>
      <c r="F22" s="12" t="s">
        <v>292</v>
      </c>
      <c r="G22" s="12"/>
    </row>
    <row r="23" spans="1:8" x14ac:dyDescent="0.25">
      <c r="B23" s="6" t="s">
        <v>153</v>
      </c>
      <c r="F23" s="12" t="s">
        <v>293</v>
      </c>
      <c r="G23" s="12"/>
    </row>
    <row r="24" spans="1:8" x14ac:dyDescent="0.25">
      <c r="B24" s="6" t="s">
        <v>45</v>
      </c>
      <c r="F24" s="12" t="s">
        <v>294</v>
      </c>
      <c r="G24" s="12"/>
    </row>
    <row r="25" spans="1:8" x14ac:dyDescent="0.25">
      <c r="B25" s="6" t="s">
        <v>154</v>
      </c>
      <c r="F25" s="12" t="s">
        <v>295</v>
      </c>
      <c r="G25" s="12"/>
    </row>
    <row r="26" spans="1:8" x14ac:dyDescent="0.25">
      <c r="B26" s="6" t="s">
        <v>155</v>
      </c>
      <c r="F26" s="12" t="s">
        <v>296</v>
      </c>
      <c r="G26" s="12"/>
    </row>
    <row r="27" spans="1:8" x14ac:dyDescent="0.25">
      <c r="B27" s="6" t="s">
        <v>156</v>
      </c>
    </row>
    <row r="28" spans="1:8" x14ac:dyDescent="0.25">
      <c r="B28" s="6" t="s">
        <v>157</v>
      </c>
    </row>
    <row r="29" spans="1:8" x14ac:dyDescent="0.25">
      <c r="B29" s="6" t="s">
        <v>158</v>
      </c>
    </row>
    <row r="30" spans="1:8" x14ac:dyDescent="0.25">
      <c r="B30" s="6" t="s">
        <v>159</v>
      </c>
    </row>
    <row r="31" spans="1:8" x14ac:dyDescent="0.25">
      <c r="B31" s="6" t="s">
        <v>160</v>
      </c>
    </row>
    <row r="32" spans="1:8" x14ac:dyDescent="0.25">
      <c r="B32" s="6" t="s">
        <v>161</v>
      </c>
    </row>
    <row r="33" spans="2:2" x14ac:dyDescent="0.25">
      <c r="B33" s="6" t="s">
        <v>162</v>
      </c>
    </row>
    <row r="34" spans="2:2" x14ac:dyDescent="0.25">
      <c r="B34" s="6" t="s">
        <v>163</v>
      </c>
    </row>
    <row r="35" spans="2:2" x14ac:dyDescent="0.25">
      <c r="B35" s="6" t="s">
        <v>164</v>
      </c>
    </row>
    <row r="36" spans="2:2" x14ac:dyDescent="0.25">
      <c r="B36" s="6" t="s">
        <v>165</v>
      </c>
    </row>
    <row r="37" spans="2:2" x14ac:dyDescent="0.25">
      <c r="B37" s="6" t="s">
        <v>166</v>
      </c>
    </row>
    <row r="38" spans="2:2" x14ac:dyDescent="0.25">
      <c r="B38" s="6" t="s">
        <v>41</v>
      </c>
    </row>
    <row r="39" spans="2:2" x14ac:dyDescent="0.25">
      <c r="B39" s="6" t="s">
        <v>167</v>
      </c>
    </row>
    <row r="40" spans="2:2" x14ac:dyDescent="0.25">
      <c r="B40" s="6" t="s">
        <v>168</v>
      </c>
    </row>
    <row r="41" spans="2:2" x14ac:dyDescent="0.25">
      <c r="B41" s="6" t="s">
        <v>169</v>
      </c>
    </row>
    <row r="42" spans="2:2" x14ac:dyDescent="0.25">
      <c r="B42" s="6" t="s">
        <v>170</v>
      </c>
    </row>
    <row r="43" spans="2:2" x14ac:dyDescent="0.25">
      <c r="B43" s="6" t="s">
        <v>171</v>
      </c>
    </row>
    <row r="44" spans="2:2" x14ac:dyDescent="0.25">
      <c r="B44" s="6" t="s">
        <v>172</v>
      </c>
    </row>
    <row r="45" spans="2:2" x14ac:dyDescent="0.25">
      <c r="B45" s="6" t="s">
        <v>173</v>
      </c>
    </row>
    <row r="46" spans="2:2" x14ac:dyDescent="0.25">
      <c r="B46" s="6" t="s">
        <v>174</v>
      </c>
    </row>
    <row r="47" spans="2:2" x14ac:dyDescent="0.25">
      <c r="B47" s="6" t="s">
        <v>175</v>
      </c>
    </row>
    <row r="48" spans="2:2" x14ac:dyDescent="0.25">
      <c r="B48" s="6" t="s">
        <v>176</v>
      </c>
    </row>
    <row r="49" spans="2:2" x14ac:dyDescent="0.25">
      <c r="B49" s="6" t="s">
        <v>177</v>
      </c>
    </row>
    <row r="50" spans="2:2" x14ac:dyDescent="0.25">
      <c r="B50" s="6" t="s">
        <v>178</v>
      </c>
    </row>
    <row r="51" spans="2:2" x14ac:dyDescent="0.25">
      <c r="B51" s="6" t="s">
        <v>179</v>
      </c>
    </row>
    <row r="52" spans="2:2" x14ac:dyDescent="0.25">
      <c r="B52" s="6" t="s">
        <v>180</v>
      </c>
    </row>
    <row r="53" spans="2:2" x14ac:dyDescent="0.25">
      <c r="B53" s="6" t="s">
        <v>181</v>
      </c>
    </row>
    <row r="54" spans="2:2" x14ac:dyDescent="0.25">
      <c r="B54" s="6" t="s">
        <v>182</v>
      </c>
    </row>
    <row r="55" spans="2:2" x14ac:dyDescent="0.25">
      <c r="B55" s="6" t="s">
        <v>183</v>
      </c>
    </row>
    <row r="56" spans="2:2" x14ac:dyDescent="0.25">
      <c r="B56" s="6" t="s">
        <v>184</v>
      </c>
    </row>
    <row r="57" spans="2:2" x14ac:dyDescent="0.25">
      <c r="B57" s="6" t="s">
        <v>185</v>
      </c>
    </row>
    <row r="58" spans="2:2" x14ac:dyDescent="0.25">
      <c r="B58" s="6" t="s">
        <v>186</v>
      </c>
    </row>
    <row r="59" spans="2:2" x14ac:dyDescent="0.25">
      <c r="B59" s="6" t="s">
        <v>187</v>
      </c>
    </row>
    <row r="60" spans="2:2" x14ac:dyDescent="0.25">
      <c r="B60" s="6" t="s">
        <v>188</v>
      </c>
    </row>
    <row r="61" spans="2:2" x14ac:dyDescent="0.25">
      <c r="B61" s="6" t="s">
        <v>189</v>
      </c>
    </row>
    <row r="62" spans="2:2" x14ac:dyDescent="0.25">
      <c r="B62" s="6" t="s">
        <v>190</v>
      </c>
    </row>
    <row r="63" spans="2:2" x14ac:dyDescent="0.25">
      <c r="B63" s="6" t="s">
        <v>191</v>
      </c>
    </row>
    <row r="64" spans="2:2" x14ac:dyDescent="0.25">
      <c r="B64" s="6" t="s">
        <v>192</v>
      </c>
    </row>
    <row r="65" spans="2:2" x14ac:dyDescent="0.25">
      <c r="B65" s="6" t="s">
        <v>193</v>
      </c>
    </row>
    <row r="66" spans="2:2" x14ac:dyDescent="0.25">
      <c r="B66" s="6" t="s">
        <v>194</v>
      </c>
    </row>
    <row r="67" spans="2:2" x14ac:dyDescent="0.25">
      <c r="B67" s="6" t="s">
        <v>195</v>
      </c>
    </row>
    <row r="68" spans="2:2" x14ac:dyDescent="0.25">
      <c r="B68" s="6" t="s">
        <v>196</v>
      </c>
    </row>
    <row r="69" spans="2:2" x14ac:dyDescent="0.25">
      <c r="B69" s="6" t="s">
        <v>197</v>
      </c>
    </row>
    <row r="70" spans="2:2" x14ac:dyDescent="0.25">
      <c r="B70" s="6" t="s">
        <v>198</v>
      </c>
    </row>
    <row r="71" spans="2:2" x14ac:dyDescent="0.25">
      <c r="B71" s="6" t="s">
        <v>199</v>
      </c>
    </row>
    <row r="72" spans="2:2" x14ac:dyDescent="0.25">
      <c r="B72" s="6" t="s">
        <v>200</v>
      </c>
    </row>
    <row r="73" spans="2:2" x14ac:dyDescent="0.25">
      <c r="B73" s="6" t="s">
        <v>201</v>
      </c>
    </row>
    <row r="74" spans="2:2" x14ac:dyDescent="0.25">
      <c r="B74" s="6" t="s">
        <v>202</v>
      </c>
    </row>
    <row r="75" spans="2:2" x14ac:dyDescent="0.25">
      <c r="B75" s="6" t="s">
        <v>203</v>
      </c>
    </row>
    <row r="76" spans="2:2" x14ac:dyDescent="0.25">
      <c r="B76" s="6" t="s">
        <v>204</v>
      </c>
    </row>
    <row r="77" spans="2:2" x14ac:dyDescent="0.25">
      <c r="B77" s="6" t="s">
        <v>205</v>
      </c>
    </row>
    <row r="78" spans="2:2" x14ac:dyDescent="0.25">
      <c r="B78" s="6" t="s">
        <v>19</v>
      </c>
    </row>
    <row r="79" spans="2:2" x14ac:dyDescent="0.25">
      <c r="B79" s="6" t="s">
        <v>206</v>
      </c>
    </row>
    <row r="80" spans="2:2" x14ac:dyDescent="0.25">
      <c r="B80" s="6" t="s">
        <v>207</v>
      </c>
    </row>
    <row r="81" spans="2:2" x14ac:dyDescent="0.25">
      <c r="B81" s="6" t="s">
        <v>208</v>
      </c>
    </row>
    <row r="82" spans="2:2" x14ac:dyDescent="0.25">
      <c r="B82" s="6" t="s">
        <v>209</v>
      </c>
    </row>
    <row r="83" spans="2:2" x14ac:dyDescent="0.25">
      <c r="B83" s="6" t="s">
        <v>210</v>
      </c>
    </row>
    <row r="84" spans="2:2" x14ac:dyDescent="0.25">
      <c r="B84" s="6" t="s">
        <v>211</v>
      </c>
    </row>
    <row r="85" spans="2:2" x14ac:dyDescent="0.25">
      <c r="B85" s="6" t="s">
        <v>212</v>
      </c>
    </row>
    <row r="86" spans="2:2" x14ac:dyDescent="0.25">
      <c r="B86" s="6" t="s">
        <v>213</v>
      </c>
    </row>
    <row r="87" spans="2:2" x14ac:dyDescent="0.25">
      <c r="B87" s="6" t="s">
        <v>214</v>
      </c>
    </row>
    <row r="88" spans="2:2" x14ac:dyDescent="0.25">
      <c r="B88" s="6" t="s">
        <v>215</v>
      </c>
    </row>
    <row r="89" spans="2:2" x14ac:dyDescent="0.25">
      <c r="B89" s="6" t="s">
        <v>216</v>
      </c>
    </row>
    <row r="90" spans="2:2" x14ac:dyDescent="0.25">
      <c r="B90" s="6" t="s">
        <v>217</v>
      </c>
    </row>
    <row r="91" spans="2:2" x14ac:dyDescent="0.25">
      <c r="B91" s="6" t="s">
        <v>218</v>
      </c>
    </row>
    <row r="92" spans="2:2" x14ac:dyDescent="0.25">
      <c r="B92" s="6" t="s">
        <v>219</v>
      </c>
    </row>
    <row r="93" spans="2:2" x14ac:dyDescent="0.25">
      <c r="B93" s="6" t="s">
        <v>220</v>
      </c>
    </row>
    <row r="94" spans="2:2" x14ac:dyDescent="0.25">
      <c r="B94" s="6" t="s">
        <v>221</v>
      </c>
    </row>
    <row r="95" spans="2:2" x14ac:dyDescent="0.25">
      <c r="B95" s="6" t="s">
        <v>222</v>
      </c>
    </row>
    <row r="96" spans="2:2" x14ac:dyDescent="0.25">
      <c r="B96" s="6" t="s">
        <v>223</v>
      </c>
    </row>
    <row r="97" spans="2:2" ht="15.75" thickBot="1" x14ac:dyDescent="0.3">
      <c r="B97" s="7" t="s">
        <v>224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6</vt:i4>
      </vt:variant>
    </vt:vector>
  </HeadingPairs>
  <TitlesOfParts>
    <vt:vector size="12" baseType="lpstr">
      <vt:lpstr>BaseDatos</vt:lpstr>
      <vt:lpstr>Hoja2</vt:lpstr>
      <vt:lpstr>Hoja3</vt:lpstr>
      <vt:lpstr>hoja4</vt:lpstr>
      <vt:lpstr>Hoja5</vt:lpstr>
      <vt:lpstr>lista_combobox</vt:lpstr>
      <vt:lpstr>CAMBIO</vt:lpstr>
      <vt:lpstr>CAMBIO_DE_DATOS</vt:lpstr>
      <vt:lpstr>CARROCERIA</vt:lpstr>
      <vt:lpstr>CATE</vt:lpstr>
      <vt:lpstr>GASOLINA</vt:lpstr>
      <vt:lpstr>NOTAS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</dc:creator>
  <cp:lastModifiedBy>ERICK</cp:lastModifiedBy>
  <cp:lastPrinted>2022-06-17T14:34:32Z</cp:lastPrinted>
  <dcterms:created xsi:type="dcterms:W3CDTF">2022-02-12T12:12:26Z</dcterms:created>
  <dcterms:modified xsi:type="dcterms:W3CDTF">2022-06-17T14:58:03Z</dcterms:modified>
</cp:coreProperties>
</file>